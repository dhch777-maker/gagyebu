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지급 이력" sheetId="3" state="visible" r:id="rId3"/>
    <sheet xmlns:r="http://schemas.openxmlformats.org/officeDocument/2006/relationships" name="급여 요약" sheetId="4" state="visible" r:id="rId4"/>
  </sheets>
  <definedNames>
    <definedName name="_xlnm._FilterDatabase" localSheetId="1" hidden="1">'근무 기록'!$A$1:$H$288</definedName>
    <definedName name="_xlnm._FilterDatabase" localSheetId="2" hidden="1">'지급 이력'!$A$1:$C$36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시급</t>
        </is>
      </c>
      <c r="C7" s="3" t="n">
        <v>12000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202503</v>
      </c>
      <c r="G7" s="4" t="n"/>
      <c r="H7" s="2" t="n"/>
    </row>
    <row r="8">
      <c r="A8" s="2" t="inlineStr">
        <is>
          <t>김채현</t>
        </is>
      </c>
      <c r="B8" s="2" t="inlineStr">
        <is>
          <t>시급</t>
        </is>
      </c>
      <c r="C8" s="3" t="n">
        <v>12000</v>
      </c>
      <c r="D8" s="2" t="inlineStr">
        <is>
          <t>우리은행 1002-351-542250</t>
        </is>
      </c>
      <c r="E8" s="2" t="inlineStr">
        <is>
          <t>퇴직</t>
        </is>
      </c>
      <c r="F8" s="4" t="n">
        <v>202507</v>
      </c>
      <c r="G8" s="4" t="n">
        <v>202510</v>
      </c>
      <c r="H8" s="2" t="n"/>
    </row>
    <row r="9">
      <c r="A9" s="2" t="inlineStr">
        <is>
          <t>이진화</t>
        </is>
      </c>
      <c r="B9" s="2" t="inlineStr">
        <is>
          <t>시급</t>
        </is>
      </c>
      <c r="C9" s="3" t="n">
        <v>12000</v>
      </c>
      <c r="D9" s="2" t="inlineStr">
        <is>
          <t>우리은행 1002-166-678383</t>
        </is>
      </c>
      <c r="E9" s="2" t="inlineStr">
        <is>
          <t>재직</t>
        </is>
      </c>
      <c r="F9" s="4" t="n">
        <v>202511</v>
      </c>
      <c r="G9" s="4" t="n"/>
      <c r="H9" s="2" t="n"/>
    </row>
  </sheetData>
  <dataValidations count="2">
    <dataValidation sqref="B2:B28" showDropDown="0" showInputMessage="0" showErrorMessage="0" allowBlank="1" error="월급 또는 시급만 입력 가능합니다" type="list">
      <formula1>"월급,시급"</formula1>
    </dataValidation>
    <dataValidation sqref="E2:E28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마스터'!B$2:B$29,MATCH(1,('직원 마스터'!A$2:A$29=B2)*('직원 마스터'!F$2:F$29&lt;=(YEAR(A2)*100+MONTH(A2)))*(('직원 마스터'!G$2:G$29="")+('직원 마스터'!G$2:G$29&gt;=(YEAR(A2)*100+MONTH(A2)))),0)),""),"")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마스터'!B$2:B$29,MATCH(1,('직원 마스터'!A$2:A$29=B3)*('직원 마스터'!F$2:F$29&lt;=(YEAR(A3)*100+MONTH(A3)))*(('직원 마스터'!G$2:G$29="")+('직원 마스터'!G$2:G$29&gt;=(YEAR(A3)*100+MONTH(A3)))),0)),""),"")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마스터'!B$2:B$29,MATCH(1,('직원 마스터'!A$2:A$29=B4)*('직원 마스터'!F$2:F$29&lt;=(YEAR(A4)*100+MONTH(A4)))*(('직원 마스터'!G$2:G$29="")+('직원 마스터'!G$2:G$29&gt;=(YEAR(A4)*100+MONTH(A4)))),0)),""),"")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마스터'!B$2:B$29,MATCH(1,('직원 마스터'!A$2:A$29=B5)*('직원 마스터'!F$2:F$29&lt;=(YEAR(A5)*100+MONTH(A5)))*(('직원 마스터'!G$2:G$29="")+('직원 마스터'!G$2:G$29&gt;=(YEAR(A5)*100+MONTH(A5)))),0)),""),"")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마스터'!B$2:B$29,MATCH(1,('직원 마스터'!A$2:A$29=B6)*('직원 마스터'!F$2:F$29&lt;=(YEAR(A6)*100+MONTH(A6)))*(('직원 마스터'!G$2:G$29="")+('직원 마스터'!G$2:G$29&gt;=(YEAR(A6)*100+MONTH(A6)))),0)),""),"")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마스터'!B$2:B$29,MATCH(1,('직원 마스터'!A$2:A$29=B7)*('직원 마스터'!F$2:F$29&lt;=(YEAR(A7)*100+MONTH(A7)))*(('직원 마스터'!G$2:G$29="")+('직원 마스터'!G$2:G$29&gt;=(YEAR(A7)*100+MONTH(A7)))),0)),""),"")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마스터'!B$2:B$29,MATCH(1,('직원 마스터'!A$2:A$29=B8)*('직원 마스터'!F$2:F$29&lt;=(YEAR(A8)*100+MONTH(A8)))*(('직원 마스터'!G$2:G$29="")+('직원 마스터'!G$2:G$29&gt;=(YEAR(A8)*100+MONTH(A8)))),0)),""),"")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마스터'!B$2:B$29,MATCH(1,('직원 마스터'!A$2:A$29=B9)*('직원 마스터'!F$2:F$29&lt;=(YEAR(A9)*100+MONTH(A9)))*(('직원 마스터'!G$2:G$29="")+('직원 마스터'!G$2:G$29&gt;=(YEAR(A9)*100+MONTH(A9)))),0)),""),"")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마스터'!B$2:B$29,MATCH(1,('직원 마스터'!A$2:A$29=B10)*('직원 마스터'!F$2:F$29&lt;=(YEAR(A10)*100+MONTH(A10)))*(('직원 마스터'!G$2:G$29="")+('직원 마스터'!G$2:G$29&gt;=(YEAR(A10)*100+MONTH(A10)))),0)),""),"")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마스터'!B$2:B$29,MATCH(1,('직원 마스터'!A$2:A$29=B11)*('직원 마스터'!F$2:F$29&lt;=(YEAR(A11)*100+MONTH(A11)))*(('직원 마스터'!G$2:G$29="")+('직원 마스터'!G$2:G$29&gt;=(YEAR(A11)*100+MONTH(A11)))),0)),""),"")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마스터'!B$2:B$29,MATCH(1,('직원 마스터'!A$2:A$29=B12)*('직원 마스터'!F$2:F$29&lt;=(YEAR(A12)*100+MONTH(A12)))*(('직원 마스터'!G$2:G$29="")+('직원 마스터'!G$2:G$29&gt;=(YEAR(A12)*100+MONTH(A12)))),0)),""),"")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마스터'!B$2:B$29,MATCH(1,('직원 마스터'!A$2:A$29=B13)*('직원 마스터'!F$2:F$29&lt;=(YEAR(A13)*100+MONTH(A13)))*(('직원 마스터'!G$2:G$29="")+('직원 마스터'!G$2:G$29&gt;=(YEAR(A13)*100+MONTH(A13)))),0)),""),"")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마스터'!B$2:B$29,MATCH(1,('직원 마스터'!A$2:A$29=B14)*('직원 마스터'!F$2:F$29&lt;=(YEAR(A14)*100+MONTH(A14)))*(('직원 마스터'!G$2:G$29="")+('직원 마스터'!G$2:G$29&gt;=(YEAR(A14)*100+MONTH(A14)))),0)),""),"")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마스터'!B$2:B$29,MATCH(1,('직원 마스터'!A$2:A$29=B15)*('직원 마스터'!F$2:F$29&lt;=(YEAR(A15)*100+MONTH(A15)))*(('직원 마스터'!G$2:G$29="")+('직원 마스터'!G$2:G$29&gt;=(YEAR(A15)*100+MONTH(A15)))),0)),""),"")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마스터'!B$2:B$29,MATCH(1,('직원 마스터'!A$2:A$29=B16)*('직원 마스터'!F$2:F$29&lt;=(YEAR(A16)*100+MONTH(A16)))*(('직원 마스터'!G$2:G$29="")+('직원 마스터'!G$2:G$29&gt;=(YEAR(A16)*100+MONTH(A16)))),0)),""),"")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마스터'!B$2:B$29,MATCH(1,('직원 마스터'!A$2:A$29=B17)*('직원 마스터'!F$2:F$29&lt;=(YEAR(A17)*100+MONTH(A17)))*(('직원 마스터'!G$2:G$29="")+('직원 마스터'!G$2:G$29&gt;=(YEAR(A17)*100+MONTH(A17)))),0)),""),"")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마스터'!B$2:B$29,MATCH(1,('직원 마스터'!A$2:A$29=B18)*('직원 마스터'!F$2:F$29&lt;=(YEAR(A18)*100+MONTH(A18)))*(('직원 마스터'!G$2:G$29="")+('직원 마스터'!G$2:G$29&gt;=(YEAR(A18)*100+MONTH(A18)))),0)),""),"")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마스터'!B$2:B$29,MATCH(1,('직원 마스터'!A$2:A$29=B19)*('직원 마스터'!F$2:F$29&lt;=(YEAR(A19)*100+MONTH(A19)))*(('직원 마스터'!G$2:G$29="")+('직원 마스터'!G$2:G$29&gt;=(YEAR(A19)*100+MONTH(A19)))),0)),""),"")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마스터'!B$2:B$29,MATCH(1,('직원 마스터'!A$2:A$29=B20)*('직원 마스터'!F$2:F$29&lt;=(YEAR(A20)*100+MONTH(A20)))*(('직원 마스터'!G$2:G$29="")+('직원 마스터'!G$2:G$29&gt;=(YEAR(A20)*100+MONTH(A20)))),0)),""),"")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마스터'!B$2:B$29,MATCH(1,('직원 마스터'!A$2:A$29=B21)*('직원 마스터'!F$2:F$29&lt;=(YEAR(A21)*100+MONTH(A21)))*(('직원 마스터'!G$2:G$29="")+('직원 마스터'!G$2:G$29&gt;=(YEAR(A21)*100+MONTH(A21)))),0)),""),"")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마스터'!B$2:B$29,MATCH(1,('직원 마스터'!A$2:A$29=B22)*('직원 마스터'!F$2:F$29&lt;=(YEAR(A22)*100+MONTH(A22)))*(('직원 마스터'!G$2:G$29="")+('직원 마스터'!G$2:G$29&gt;=(YEAR(A22)*100+MONTH(A22)))),0)),""),"")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마스터'!B$2:B$29,MATCH(1,('직원 마스터'!A$2:A$29=B23)*('직원 마스터'!F$2:F$29&lt;=(YEAR(A23)*100+MONTH(A23)))*(('직원 마스터'!G$2:G$29="")+('직원 마스터'!G$2:G$29&gt;=(YEAR(A23)*100+MONTH(A23)))),0)),""),"")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마스터'!B$2:B$29,MATCH(1,('직원 마스터'!A$2:A$29=B24)*('직원 마스터'!F$2:F$29&lt;=(YEAR(A24)*100+MONTH(A24)))*(('직원 마스터'!G$2:G$29="")+('직원 마스터'!G$2:G$29&gt;=(YEAR(A24)*100+MONTH(A24)))),0)),""),"")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마스터'!B$2:B$29,MATCH(1,('직원 마스터'!A$2:A$29=B25)*('직원 마스터'!F$2:F$29&lt;=(YEAR(A25)*100+MONTH(A25)))*(('직원 마스터'!G$2:G$29="")+('직원 마스터'!G$2:G$29&gt;=(YEAR(A25)*100+MONTH(A25)))),0)),""),"")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마스터'!B$2:B$29,MATCH(1,('직원 마스터'!A$2:A$29=B26)*('직원 마스터'!F$2:F$29&lt;=(YEAR(A26)*100+MONTH(A26)))*(('직원 마스터'!G$2:G$29="")+('직원 마스터'!G$2:G$29&gt;=(YEAR(A26)*100+MONTH(A26)))),0)),""),"")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마스터'!B$2:B$29,MATCH(1,('직원 마스터'!A$2:A$29=B27)*('직원 마스터'!F$2:F$29&lt;=(YEAR(A27)*100+MONTH(A27)))*(('직원 마스터'!G$2:G$29="")+('직원 마스터'!G$2:G$29&gt;=(YEAR(A27)*100+MONTH(A27)))),0)),""),"")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마스터'!B$2:B$29,MATCH(1,('직원 마스터'!A$2:A$29=B28)*('직원 마스터'!F$2:F$29&lt;=(YEAR(A28)*100+MONTH(A28)))*(('직원 마스터'!G$2:G$29="")+('직원 마스터'!G$2:G$29&gt;=(YEAR(A28)*100+MONTH(A28)))),0)),""),"")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마스터'!B$2:B$29,MATCH(1,('직원 마스터'!A$2:A$29=B29)*('직원 마스터'!F$2:F$29&lt;=(YEAR(A29)*100+MONTH(A29)))*(('직원 마스터'!G$2:G$29="")+('직원 마스터'!G$2:G$29&gt;=(YEAR(A29)*100+MONTH(A29)))),0)),""),"")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마스터'!B$2:B$29,MATCH(1,('직원 마스터'!A$2:A$29=B30)*('직원 마스터'!F$2:F$29&lt;=(YEAR(A30)*100+MONTH(A30)))*(('직원 마스터'!G$2:G$29="")+('직원 마스터'!G$2:G$29&gt;=(YEAR(A30)*100+MONTH(A30)))),0)),""),"")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마스터'!B$2:B$29,MATCH(1,('직원 마스터'!A$2:A$29=B31)*('직원 마스터'!F$2:F$29&lt;=(YEAR(A31)*100+MONTH(A31)))*(('직원 마스터'!G$2:G$29="")+('직원 마스터'!G$2:G$29&gt;=(YEAR(A31)*100+MONTH(A31)))),0)),""),"")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마스터'!B$2:B$29,MATCH(1,('직원 마스터'!A$2:A$29=B32)*('직원 마스터'!F$2:F$29&lt;=(YEAR(A32)*100+MONTH(A32)))*(('직원 마스터'!G$2:G$29="")+('직원 마스터'!G$2:G$29&gt;=(YEAR(A32)*100+MONTH(A32)))),0)),""),"")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마스터'!B$2:B$29,MATCH(1,('직원 마스터'!A$2:A$29=B33)*('직원 마스터'!F$2:F$29&lt;=(YEAR(A33)*100+MONTH(A33)))*(('직원 마스터'!G$2:G$29="")+('직원 마스터'!G$2:G$29&gt;=(YEAR(A33)*100+MONTH(A33)))),0)),""),"")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마스터'!B$2:B$29,MATCH(1,('직원 마스터'!A$2:A$29=B34)*('직원 마스터'!F$2:F$29&lt;=(YEAR(A34)*100+MONTH(A34)))*(('직원 마스터'!G$2:G$29="")+('직원 마스터'!G$2:G$29&gt;=(YEAR(A34)*100+MONTH(A34)))),0)),""),"")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마스터'!B$2:B$29,MATCH(1,('직원 마스터'!A$2:A$29=B35)*('직원 마스터'!F$2:F$29&lt;=(YEAR(A35)*100+MONTH(A35)))*(('직원 마스터'!G$2:G$29="")+('직원 마스터'!G$2:G$29&gt;=(YEAR(A35)*100+MONTH(A35)))),0)),""),"")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마스터'!B$2:B$29,MATCH(1,('직원 마스터'!A$2:A$29=B36)*('직원 마스터'!F$2:F$29&lt;=(YEAR(A36)*100+MONTH(A36)))*(('직원 마스터'!G$2:G$29="")+('직원 마스터'!G$2:G$29&gt;=(YEAR(A36)*100+MONTH(A36)))),0)),""),"")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마스터'!B$2:B$29,MATCH(1,('직원 마스터'!A$2:A$29=B37)*('직원 마스터'!F$2:F$29&lt;=(YEAR(A37)*100+MONTH(A37)))*(('직원 마스터'!G$2:G$29="")+('직원 마스터'!G$2:G$29&gt;=(YEAR(A37)*100+MONTH(A37)))),0)),""),"")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마스터'!B$2:B$29,MATCH(1,('직원 마스터'!A$2:A$29=B38)*('직원 마스터'!F$2:F$29&lt;=(YEAR(A38)*100+MONTH(A38)))*(('직원 마스터'!G$2:G$29="")+('직원 마스터'!G$2:G$29&gt;=(YEAR(A38)*100+MONTH(A38)))),0)),""),"")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마스터'!B$2:B$29,MATCH(1,('직원 마스터'!A$2:A$29=B39)*('직원 마스터'!F$2:F$29&lt;=(YEAR(A39)*100+MONTH(A39)))*(('직원 마스터'!G$2:G$29="")+('직원 마스터'!G$2:G$29&gt;=(YEAR(A39)*100+MONTH(A39)))),0)),""),"")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마스터'!B$2:B$29,MATCH(1,('직원 마스터'!A$2:A$29=B40)*('직원 마스터'!F$2:F$29&lt;=(YEAR(A40)*100+MONTH(A40)))*(('직원 마스터'!G$2:G$29="")+('직원 마스터'!G$2:G$29&gt;=(YEAR(A40)*100+MONTH(A40)))),0)),""),"")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마스터'!B$2:B$29,MATCH(1,('직원 마스터'!A$2:A$29=B41)*('직원 마스터'!F$2:F$29&lt;=(YEAR(A41)*100+MONTH(A41)))*(('직원 마스터'!G$2:G$29="")+('직원 마스터'!G$2:G$29&gt;=(YEAR(A41)*100+MONTH(A41)))),0)),""),"")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마스터'!B$2:B$29,MATCH(1,('직원 마스터'!A$2:A$29=B42)*('직원 마스터'!F$2:F$29&lt;=(YEAR(A42)*100+MONTH(A42)))*(('직원 마스터'!G$2:G$29="")+('직원 마스터'!G$2:G$29&gt;=(YEAR(A42)*100+MONTH(A42)))),0)),""),"")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마스터'!B$2:B$29,MATCH(1,('직원 마스터'!A$2:A$29=B43)*('직원 마스터'!F$2:F$29&lt;=(YEAR(A43)*100+MONTH(A43)))*(('직원 마스터'!G$2:G$29="")+('직원 마스터'!G$2:G$29&gt;=(YEAR(A43)*100+MONTH(A43)))),0)),""),"")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마스터'!B$2:B$29,MATCH(1,('직원 마스터'!A$2:A$29=B44)*('직원 마스터'!F$2:F$29&lt;=(YEAR(A44)*100+MONTH(A44)))*(('직원 마스터'!G$2:G$29="")+('직원 마스터'!G$2:G$29&gt;=(YEAR(A44)*100+MONTH(A44)))),0)),""),"")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마스터'!B$2:B$29,MATCH(1,('직원 마스터'!A$2:A$29=B45)*('직원 마스터'!F$2:F$29&lt;=(YEAR(A45)*100+MONTH(A45)))*(('직원 마스터'!G$2:G$29="")+('직원 마스터'!G$2:G$29&gt;=(YEAR(A45)*100+MONTH(A45)))),0)),""),"")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마스터'!B$2:B$29,MATCH(1,('직원 마스터'!A$2:A$29=B46)*('직원 마스터'!F$2:F$29&lt;=(YEAR(A46)*100+MONTH(A46)))*(('직원 마스터'!G$2:G$29="")+('직원 마스터'!G$2:G$29&gt;=(YEAR(A46)*100+MONTH(A46)))),0)),""),"")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마스터'!B$2:B$29,MATCH(1,('직원 마스터'!A$2:A$29=B47)*('직원 마스터'!F$2:F$29&lt;=(YEAR(A47)*100+MONTH(A47)))*(('직원 마스터'!G$2:G$29="")+('직원 마스터'!G$2:G$29&gt;=(YEAR(A47)*100+MONTH(A47)))),0)),""),"")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마스터'!B$2:B$29,MATCH(1,('직원 마스터'!A$2:A$29=B48)*('직원 마스터'!F$2:F$29&lt;=(YEAR(A48)*100+MONTH(A48)))*(('직원 마스터'!G$2:G$29="")+('직원 마스터'!G$2:G$29&gt;=(YEAR(A48)*100+MONTH(A48)))),0)),""),"")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마스터'!B$2:B$29,MATCH(1,('직원 마스터'!A$2:A$29=B49)*('직원 마스터'!F$2:F$29&lt;=(YEAR(A49)*100+MONTH(A49)))*(('직원 마스터'!G$2:G$29="")+('직원 마스터'!G$2:G$29&gt;=(YEAR(A49)*100+MONTH(A49)))),0)),""),"")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마스터'!B$2:B$29,MATCH(1,('직원 마스터'!A$2:A$29=B50)*('직원 마스터'!F$2:F$29&lt;=(YEAR(A50)*100+MONTH(A50)))*(('직원 마스터'!G$2:G$29="")+('직원 마스터'!G$2:G$29&gt;=(YEAR(A50)*100+MONTH(A50)))),0)),""),"")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마스터'!B$2:B$29,MATCH(1,('직원 마스터'!A$2:A$29=B51)*('직원 마스터'!F$2:F$29&lt;=(YEAR(A51)*100+MONTH(A51)))*(('직원 마스터'!G$2:G$29="")+('직원 마스터'!G$2:G$29&gt;=(YEAR(A51)*100+MONTH(A51)))),0)),""),"")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마스터'!B$2:B$29,MATCH(1,('직원 마스터'!A$2:A$29=B52)*('직원 마스터'!F$2:F$29&lt;=(YEAR(A52)*100+MONTH(A52)))*(('직원 마스터'!G$2:G$29="")+('직원 마스터'!G$2:G$29&gt;=(YEAR(A52)*100+MONTH(A52)))),0)),""),"")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마스터'!B$2:B$29,MATCH(1,('직원 마스터'!A$2:A$29=B53)*('직원 마스터'!F$2:F$29&lt;=(YEAR(A53)*100+MONTH(A53)))*(('직원 마스터'!G$2:G$29="")+('직원 마스터'!G$2:G$29&gt;=(YEAR(A53)*100+MONTH(A53)))),0)),""),"")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마스터'!B$2:B$29,MATCH(1,('직원 마스터'!A$2:A$29=B54)*('직원 마스터'!F$2:F$29&lt;=(YEAR(A54)*100+MONTH(A54)))*(('직원 마스터'!G$2:G$29="")+('직원 마스터'!G$2:G$29&gt;=(YEAR(A54)*100+MONTH(A54)))),0)),""),"")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마스터'!B$2:B$29,MATCH(1,('직원 마스터'!A$2:A$29=B55)*('직원 마스터'!F$2:F$29&lt;=(YEAR(A55)*100+MONTH(A55)))*(('직원 마스터'!G$2:G$29="")+('직원 마스터'!G$2:G$29&gt;=(YEAR(A55)*100+MONTH(A55)))),0)),""),"")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마스터'!B$2:B$29,MATCH(1,('직원 마스터'!A$2:A$29=B56)*('직원 마스터'!F$2:F$29&lt;=(YEAR(A56)*100+MONTH(A56)))*(('직원 마스터'!G$2:G$29="")+('직원 마스터'!G$2:G$29&gt;=(YEAR(A56)*100+MONTH(A56)))),0)),""),"")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마스터'!B$2:B$29,MATCH(1,('직원 마스터'!A$2:A$29=B57)*('직원 마스터'!F$2:F$29&lt;=(YEAR(A57)*100+MONTH(A57)))*(('직원 마스터'!G$2:G$29="")+('직원 마스터'!G$2:G$29&gt;=(YEAR(A57)*100+MONTH(A57)))),0)),""),"")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마스터'!B$2:B$29,MATCH(1,('직원 마스터'!A$2:A$29=B58)*('직원 마스터'!F$2:F$29&lt;=(YEAR(A58)*100+MONTH(A58)))*(('직원 마스터'!G$2:G$29="")+('직원 마스터'!G$2:G$29&gt;=(YEAR(A58)*100+MONTH(A58)))),0)),""),"")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마스터'!B$2:B$29,MATCH(1,('직원 마스터'!A$2:A$29=B59)*('직원 마스터'!F$2:F$29&lt;=(YEAR(A59)*100+MONTH(A59)))*(('직원 마스터'!G$2:G$29="")+('직원 마스터'!G$2:G$29&gt;=(YEAR(A59)*100+MONTH(A59)))),0)),""),"")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마스터'!B$2:B$29,MATCH(1,('직원 마스터'!A$2:A$29=B60)*('직원 마스터'!F$2:F$29&lt;=(YEAR(A60)*100+MONTH(A60)))*(('직원 마스터'!G$2:G$29="")+('직원 마스터'!G$2:G$29&gt;=(YEAR(A60)*100+MONTH(A60)))),0)),""),"")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마스터'!B$2:B$29,MATCH(1,('직원 마스터'!A$2:A$29=B61)*('직원 마스터'!F$2:F$29&lt;=(YEAR(A61)*100+MONTH(A61)))*(('직원 마스터'!G$2:G$29="")+('직원 마스터'!G$2:G$29&gt;=(YEAR(A61)*100+MONTH(A61)))),0)),""),"")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마스터'!B$2:B$29,MATCH(1,('직원 마스터'!A$2:A$29=B62)*('직원 마스터'!F$2:F$29&lt;=(YEAR(A62)*100+MONTH(A62)))*(('직원 마스터'!G$2:G$29="")+('직원 마스터'!G$2:G$29&gt;=(YEAR(A62)*100+MONTH(A62)))),0)),""),"")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마스터'!B$2:B$29,MATCH(1,('직원 마스터'!A$2:A$29=B63)*('직원 마스터'!F$2:F$29&lt;=(YEAR(A63)*100+MONTH(A63)))*(('직원 마스터'!G$2:G$29="")+('직원 마스터'!G$2:G$29&gt;=(YEAR(A63)*100+MONTH(A63)))),0)),""),"")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마스터'!B$2:B$29,MATCH(1,('직원 마스터'!A$2:A$29=B64)*('직원 마스터'!F$2:F$29&lt;=(YEAR(A64)*100+MONTH(A64)))*(('직원 마스터'!G$2:G$29="")+('직원 마스터'!G$2:G$29&gt;=(YEAR(A64)*100+MONTH(A64)))),0)),""),"")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마스터'!B$2:B$29,MATCH(1,('직원 마스터'!A$2:A$29=B65)*('직원 마스터'!F$2:F$29&lt;=(YEAR(A65)*100+MONTH(A65)))*(('직원 마스터'!G$2:G$29="")+('직원 마스터'!G$2:G$29&gt;=(YEAR(A65)*100+MONTH(A65)))),0)),""),"")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마스터'!B$2:B$29,MATCH(1,('직원 마스터'!A$2:A$29=B66)*('직원 마스터'!F$2:F$29&lt;=(YEAR(A66)*100+MONTH(A66)))*(('직원 마스터'!G$2:G$29="")+('직원 마스터'!G$2:G$29&gt;=(YEAR(A66)*100+MONTH(A66)))),0)),""),"")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마스터'!B$2:B$29,MATCH(1,('직원 마스터'!A$2:A$29=B67)*('직원 마스터'!F$2:F$29&lt;=(YEAR(A67)*100+MONTH(A67)))*(('직원 마스터'!G$2:G$29="")+('직원 마스터'!G$2:G$29&gt;=(YEAR(A67)*100+MONTH(A67)))),0)),""),"")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마스터'!B$2:B$29,MATCH(1,('직원 마스터'!A$2:A$29=B68)*('직원 마스터'!F$2:F$29&lt;=(YEAR(A68)*100+MONTH(A68)))*(('직원 마스터'!G$2:G$29="")+('직원 마스터'!G$2:G$29&gt;=(YEAR(A68)*100+MONTH(A68)))),0)),""),"")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마스터'!B$2:B$29,MATCH(1,('직원 마스터'!A$2:A$29=B69)*('직원 마스터'!F$2:F$29&lt;=(YEAR(A69)*100+MONTH(A69)))*(('직원 마스터'!G$2:G$29="")+('직원 마스터'!G$2:G$29&gt;=(YEAR(A69)*100+MONTH(A69)))),0)),""),"")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마스터'!B$2:B$29,MATCH(1,('직원 마스터'!A$2:A$29=B70)*('직원 마스터'!F$2:F$29&lt;=(YEAR(A70)*100+MONTH(A70)))*(('직원 마스터'!G$2:G$29="")+('직원 마스터'!G$2:G$29&gt;=(YEAR(A70)*100+MONTH(A70)))),0)),""),"")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마스터'!B$2:B$29,MATCH(1,('직원 마스터'!A$2:A$29=B71)*('직원 마스터'!F$2:F$29&lt;=(YEAR(A71)*100+MONTH(A71)))*(('직원 마스터'!G$2:G$29="")+('직원 마스터'!G$2:G$29&gt;=(YEAR(A71)*100+MONTH(A71)))),0)),""),"")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마스터'!B$2:B$29,MATCH(1,('직원 마스터'!A$2:A$29=B72)*('직원 마스터'!F$2:F$29&lt;=(YEAR(A72)*100+MONTH(A72)))*(('직원 마스터'!G$2:G$29="")+('직원 마스터'!G$2:G$29&gt;=(YEAR(A72)*100+MONTH(A72)))),0)),""),"")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마스터'!B$2:B$29,MATCH(1,('직원 마스터'!A$2:A$29=B73)*('직원 마스터'!F$2:F$29&lt;=(YEAR(A73)*100+MONTH(A73)))*(('직원 마스터'!G$2:G$29="")+('직원 마스터'!G$2:G$29&gt;=(YEAR(A73)*100+MONTH(A73)))),0)),""),"")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마스터'!B$2:B$29,MATCH(1,('직원 마스터'!A$2:A$29=B74)*('직원 마스터'!F$2:F$29&lt;=(YEAR(A74)*100+MONTH(A74)))*(('직원 마스터'!G$2:G$29="")+('직원 마스터'!G$2:G$29&gt;=(YEAR(A74)*100+MONTH(A74)))),0)),""),"")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마스터'!B$2:B$29,MATCH(1,('직원 마스터'!A$2:A$29=B75)*('직원 마스터'!F$2:F$29&lt;=(YEAR(A75)*100+MONTH(A75)))*(('직원 마스터'!G$2:G$29="")+('직원 마스터'!G$2:G$29&gt;=(YEAR(A75)*100+MONTH(A75)))),0)),""),"")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마스터'!B$2:B$29,MATCH(1,('직원 마스터'!A$2:A$29=B76)*('직원 마스터'!F$2:F$29&lt;=(YEAR(A76)*100+MONTH(A76)))*(('직원 마스터'!G$2:G$29="")+('직원 마스터'!G$2:G$29&gt;=(YEAR(A76)*100+MONTH(A76)))),0)),""),"")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마스터'!B$2:B$29,MATCH(1,('직원 마스터'!A$2:A$29=B77)*('직원 마스터'!F$2:F$29&lt;=(YEAR(A77)*100+MONTH(A77)))*(('직원 마스터'!G$2:G$29="")+('직원 마스터'!G$2:G$29&gt;=(YEAR(A77)*100+MONTH(A77)))),0)),""),"")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마스터'!B$2:B$29,MATCH(1,('직원 마스터'!A$2:A$29=B78)*('직원 마스터'!F$2:F$29&lt;=(YEAR(A78)*100+MONTH(A78)))*(('직원 마스터'!G$2:G$29="")+('직원 마스터'!G$2:G$29&gt;=(YEAR(A78)*100+MONTH(A78)))),0)),""),"")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마스터'!B$2:B$29,MATCH(1,('직원 마스터'!A$2:A$29=B79)*('직원 마스터'!F$2:F$29&lt;=(YEAR(A79)*100+MONTH(A79)))*(('직원 마스터'!G$2:G$29="")+('직원 마스터'!G$2:G$29&gt;=(YEAR(A79)*100+MONTH(A79)))),0)),""),"")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마스터'!B$2:B$29,MATCH(1,('직원 마스터'!A$2:A$29=B80)*('직원 마스터'!F$2:F$29&lt;=(YEAR(A80)*100+MONTH(A80)))*(('직원 마스터'!G$2:G$29="")+('직원 마스터'!G$2:G$29&gt;=(YEAR(A80)*100+MONTH(A80)))),0)),""),"")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마스터'!B$2:B$29,MATCH(1,('직원 마스터'!A$2:A$29=B81)*('직원 마스터'!F$2:F$29&lt;=(YEAR(A81)*100+MONTH(A81)))*(('직원 마스터'!G$2:G$29="")+('직원 마스터'!G$2:G$29&gt;=(YEAR(A81)*100+MONTH(A81)))),0)),""),"")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마스터'!B$2:B$29,MATCH(1,('직원 마스터'!A$2:A$29=B82)*('직원 마스터'!F$2:F$29&lt;=(YEAR(A82)*100+MONTH(A82)))*(('직원 마스터'!G$2:G$29="")+('직원 마스터'!G$2:G$29&gt;=(YEAR(A82)*100+MONTH(A82)))),0)),""),"")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마스터'!B$2:B$29,MATCH(1,('직원 마스터'!A$2:A$29=B83)*('직원 마스터'!F$2:F$29&lt;=(YEAR(A83)*100+MONTH(A83)))*(('직원 마스터'!G$2:G$29="")+('직원 마스터'!G$2:G$29&gt;=(YEAR(A83)*100+MONTH(A83)))),0)),""),"")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마스터'!B$2:B$29,MATCH(1,('직원 마스터'!A$2:A$29=B84)*('직원 마스터'!F$2:F$29&lt;=(YEAR(A84)*100+MONTH(A84)))*(('직원 마스터'!G$2:G$29="")+('직원 마스터'!G$2:G$29&gt;=(YEAR(A84)*100+MONTH(A84)))),0)),""),"")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마스터'!B$2:B$29,MATCH(1,('직원 마스터'!A$2:A$29=B85)*('직원 마스터'!F$2:F$29&lt;=(YEAR(A85)*100+MONTH(A85)))*(('직원 마스터'!G$2:G$29="")+('직원 마스터'!G$2:G$29&gt;=(YEAR(A85)*100+MONTH(A85)))),0)),""),"")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마스터'!B$2:B$29,MATCH(1,('직원 마스터'!A$2:A$29=B86)*('직원 마스터'!F$2:F$29&lt;=(YEAR(A86)*100+MONTH(A86)))*(('직원 마스터'!G$2:G$29="")+('직원 마스터'!G$2:G$29&gt;=(YEAR(A86)*100+MONTH(A86)))),0)),""),"")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마스터'!B$2:B$29,MATCH(1,('직원 마스터'!A$2:A$29=B87)*('직원 마스터'!F$2:F$29&lt;=(YEAR(A87)*100+MONTH(A87)))*(('직원 마스터'!G$2:G$29="")+('직원 마스터'!G$2:G$29&gt;=(YEAR(A87)*100+MONTH(A87)))),0)),""),"")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마스터'!B$2:B$29,MATCH(1,('직원 마스터'!A$2:A$29=B88)*('직원 마스터'!F$2:F$29&lt;=(YEAR(A88)*100+MONTH(A88)))*(('직원 마스터'!G$2:G$29="")+('직원 마스터'!G$2:G$29&gt;=(YEAR(A88)*100+MONTH(A88)))),0)),""),"")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마스터'!B$2:B$29,MATCH(1,('직원 마스터'!A$2:A$29=B89)*('직원 마스터'!F$2:F$29&lt;=(YEAR(A89)*100+MONTH(A89)))*(('직원 마스터'!G$2:G$29="")+('직원 마스터'!G$2:G$29&gt;=(YEAR(A89)*100+MONTH(A89)))),0)),""),"")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마스터'!B$2:B$29,MATCH(1,('직원 마스터'!A$2:A$29=B90)*('직원 마스터'!F$2:F$29&lt;=(YEAR(A90)*100+MONTH(A90)))*(('직원 마스터'!G$2:G$29="")+('직원 마스터'!G$2:G$29&gt;=(YEAR(A90)*100+MONTH(A90)))),0)),""),"")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마스터'!B$2:B$29,MATCH(1,('직원 마스터'!A$2:A$29=B91)*('직원 마스터'!F$2:F$29&lt;=(YEAR(A91)*100+MONTH(A91)))*(('직원 마스터'!G$2:G$29="")+('직원 마스터'!G$2:G$29&gt;=(YEAR(A91)*100+MONTH(A91)))),0)),""),"")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마스터'!B$2:B$29,MATCH(1,('직원 마스터'!A$2:A$29=B92)*('직원 마스터'!F$2:F$29&lt;=(YEAR(A92)*100+MONTH(A92)))*(('직원 마스터'!G$2:G$29="")+('직원 마스터'!G$2:G$29&gt;=(YEAR(A92)*100+MONTH(A92)))),0)),""),"")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마스터'!B$2:B$29,MATCH(1,('직원 마스터'!A$2:A$29=B93)*('직원 마스터'!F$2:F$29&lt;=(YEAR(A93)*100+MONTH(A93)))*(('직원 마스터'!G$2:G$29="")+('직원 마스터'!G$2:G$29&gt;=(YEAR(A93)*100+MONTH(A93)))),0)),""),"")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마스터'!B$2:B$29,MATCH(1,('직원 마스터'!A$2:A$29=B94)*('직원 마스터'!F$2:F$29&lt;=(YEAR(A94)*100+MONTH(A94)))*(('직원 마스터'!G$2:G$29="")+('직원 마스터'!G$2:G$29&gt;=(YEAR(A94)*100+MONTH(A94)))),0)),""),"")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마스터'!B$2:B$29,MATCH(1,('직원 마스터'!A$2:A$29=B95)*('직원 마스터'!F$2:F$29&lt;=(YEAR(A95)*100+MONTH(A95)))*(('직원 마스터'!G$2:G$29="")+('직원 마스터'!G$2:G$29&gt;=(YEAR(A95)*100+MONTH(A95)))),0)),""),"")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마스터'!B$2:B$29,MATCH(1,('직원 마스터'!A$2:A$29=B96)*('직원 마스터'!F$2:F$29&lt;=(YEAR(A96)*100+MONTH(A96)))*(('직원 마스터'!G$2:G$29="")+('직원 마스터'!G$2:G$29&gt;=(YEAR(A96)*100+MONTH(A96)))),0)),""),"")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마스터'!B$2:B$29,MATCH(1,('직원 마스터'!A$2:A$29=B97)*('직원 마스터'!F$2:F$29&lt;=(YEAR(A97)*100+MONTH(A97)))*(('직원 마스터'!G$2:G$29="")+('직원 마스터'!G$2:G$29&gt;=(YEAR(A97)*100+MONTH(A97)))),0)),""),"")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마스터'!B$2:B$29,MATCH(1,('직원 마스터'!A$2:A$29=B98)*('직원 마스터'!F$2:F$29&lt;=(YEAR(A98)*100+MONTH(A98)))*(('직원 마스터'!G$2:G$29="")+('직원 마스터'!G$2:G$29&gt;=(YEAR(A98)*100+MONTH(A98)))),0)),""),"")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마스터'!B$2:B$29,MATCH(1,('직원 마스터'!A$2:A$29=B99)*('직원 마스터'!F$2:F$29&lt;=(YEAR(A99)*100+MONTH(A99)))*(('직원 마스터'!G$2:G$29="")+('직원 마스터'!G$2:G$29&gt;=(YEAR(A99)*100+MONTH(A99)))),0)),""),"")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마스터'!B$2:B$29,MATCH(1,('직원 마스터'!A$2:A$29=B100)*('직원 마스터'!F$2:F$29&lt;=(YEAR(A100)*100+MONTH(A100)))*(('직원 마스터'!G$2:G$29="")+('직원 마스터'!G$2:G$29&gt;=(YEAR(A100)*100+MONTH(A100)))),0)),""),"")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마스터'!B$2:B$29,MATCH(1,('직원 마스터'!A$2:A$29=B101)*('직원 마스터'!F$2:F$29&lt;=(YEAR(A101)*100+MONTH(A101)))*(('직원 마스터'!G$2:G$29="")+('직원 마스터'!G$2:G$29&gt;=(YEAR(A101)*100+MONTH(A101)))),0)),""),"")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마스터'!B$2:B$29,MATCH(1,('직원 마스터'!A$2:A$29=B102)*('직원 마스터'!F$2:F$29&lt;=(YEAR(A102)*100+MONTH(A102)))*(('직원 마스터'!G$2:G$29="")+('직원 마스터'!G$2:G$29&gt;=(YEAR(A102)*100+MONTH(A102)))),0)),""),"")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마스터'!B$2:B$29,MATCH(1,('직원 마스터'!A$2:A$29=B103)*('직원 마스터'!F$2:F$29&lt;=(YEAR(A103)*100+MONTH(A103)))*(('직원 마스터'!G$2:G$29="")+('직원 마스터'!G$2:G$29&gt;=(YEAR(A103)*100+MONTH(A103)))),0)),""),"")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마스터'!B$2:B$29,MATCH(1,('직원 마스터'!A$2:A$29=B104)*('직원 마스터'!F$2:F$29&lt;=(YEAR(A104)*100+MONTH(A104)))*(('직원 마스터'!G$2:G$29="")+('직원 마스터'!G$2:G$29&gt;=(YEAR(A104)*100+MONTH(A104)))),0)),""),"")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마스터'!B$2:B$29,MATCH(1,('직원 마스터'!A$2:A$29=B105)*('직원 마스터'!F$2:F$29&lt;=(YEAR(A105)*100+MONTH(A105)))*(('직원 마스터'!G$2:G$29="")+('직원 마스터'!G$2:G$29&gt;=(YEAR(A105)*100+MONTH(A105)))),0)),""),"")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마스터'!B$2:B$29,MATCH(1,('직원 마스터'!A$2:A$29=B106)*('직원 마스터'!F$2:F$29&lt;=(YEAR(A106)*100+MONTH(A106)))*(('직원 마스터'!G$2:G$29="")+('직원 마스터'!G$2:G$29&gt;=(YEAR(A106)*100+MONTH(A106)))),0)),""),"")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마스터'!B$2:B$29,MATCH(1,('직원 마스터'!A$2:A$29=B107)*('직원 마스터'!F$2:F$29&lt;=(YEAR(A107)*100+MONTH(A107)))*(('직원 마스터'!G$2:G$29="")+('직원 마스터'!G$2:G$29&gt;=(YEAR(A107)*100+MONTH(A107)))),0)),""),"")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마스터'!B$2:B$29,MATCH(1,('직원 마스터'!A$2:A$29=B108)*('직원 마스터'!F$2:F$29&lt;=(YEAR(A108)*100+MONTH(A108)))*(('직원 마스터'!G$2:G$29="")+('직원 마스터'!G$2:G$29&gt;=(YEAR(A108)*100+MONTH(A108)))),0)),""),"")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마스터'!B$2:B$29,MATCH(1,('직원 마스터'!A$2:A$29=B109)*('직원 마스터'!F$2:F$29&lt;=(YEAR(A109)*100+MONTH(A109)))*(('직원 마스터'!G$2:G$29="")+('직원 마스터'!G$2:G$29&gt;=(YEAR(A109)*100+MONTH(A109)))),0)),""),"")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마스터'!B$2:B$29,MATCH(1,('직원 마스터'!A$2:A$29=B110)*('직원 마스터'!F$2:F$29&lt;=(YEAR(A110)*100+MONTH(A110)))*(('직원 마스터'!G$2:G$29="")+('직원 마스터'!G$2:G$29&gt;=(YEAR(A110)*100+MONTH(A110)))),0)),""),"")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마스터'!B$2:B$29,MATCH(1,('직원 마스터'!A$2:A$29=B111)*('직원 마스터'!F$2:F$29&lt;=(YEAR(A111)*100+MONTH(A111)))*(('직원 마스터'!G$2:G$29="")+('직원 마스터'!G$2:G$29&gt;=(YEAR(A111)*100+MONTH(A111)))),0)),""),"")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마스터'!B$2:B$29,MATCH(1,('직원 마스터'!A$2:A$29=B112)*('직원 마스터'!F$2:F$29&lt;=(YEAR(A112)*100+MONTH(A112)))*(('직원 마스터'!G$2:G$29="")+('직원 마스터'!G$2:G$29&gt;=(YEAR(A112)*100+MONTH(A112)))),0)),""),"")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마스터'!B$2:B$29,MATCH(1,('직원 마스터'!A$2:A$29=B113)*('직원 마스터'!F$2:F$29&lt;=(YEAR(A113)*100+MONTH(A113)))*(('직원 마스터'!G$2:G$29="")+('직원 마스터'!G$2:G$29&gt;=(YEAR(A113)*100+MONTH(A113)))),0)),""),"")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마스터'!B$2:B$29,MATCH(1,('직원 마스터'!A$2:A$29=B114)*('직원 마스터'!F$2:F$29&lt;=(YEAR(A114)*100+MONTH(A114)))*(('직원 마스터'!G$2:G$29="")+('직원 마스터'!G$2:G$29&gt;=(YEAR(A114)*100+MONTH(A114)))),0)),""),"")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마스터'!B$2:B$29,MATCH(1,('직원 마스터'!A$2:A$29=B115)*('직원 마스터'!F$2:F$29&lt;=(YEAR(A115)*100+MONTH(A115)))*(('직원 마스터'!G$2:G$29="")+('직원 마스터'!G$2:G$29&gt;=(YEAR(A115)*100+MONTH(A115)))),0)),""),"")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마스터'!B$2:B$29,MATCH(1,('직원 마스터'!A$2:A$29=B116)*('직원 마스터'!F$2:F$29&lt;=(YEAR(A116)*100+MONTH(A116)))*(('직원 마스터'!G$2:G$29="")+('직원 마스터'!G$2:G$29&gt;=(YEAR(A116)*100+MONTH(A116)))),0)),""),"")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마스터'!B$2:B$29,MATCH(1,('직원 마스터'!A$2:A$29=B117)*('직원 마스터'!F$2:F$29&lt;=(YEAR(A117)*100+MONTH(A117)))*(('직원 마스터'!G$2:G$29="")+('직원 마스터'!G$2:G$29&gt;=(YEAR(A117)*100+MONTH(A117)))),0)),""),"")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마스터'!B$2:B$29,MATCH(1,('직원 마스터'!A$2:A$29=B118)*('직원 마스터'!F$2:F$29&lt;=(YEAR(A118)*100+MONTH(A118)))*(('직원 마스터'!G$2:G$29="")+('직원 마스터'!G$2:G$29&gt;=(YEAR(A118)*100+MONTH(A118)))),0)),""),"")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마스터'!B$2:B$29,MATCH(1,('직원 마스터'!A$2:A$29=B119)*('직원 마스터'!F$2:F$29&lt;=(YEAR(A119)*100+MONTH(A119)))*(('직원 마스터'!G$2:G$29="")+('직원 마스터'!G$2:G$29&gt;=(YEAR(A119)*100+MONTH(A119)))),0)),""),"")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마스터'!B$2:B$29,MATCH(1,('직원 마스터'!A$2:A$29=B120)*('직원 마스터'!F$2:F$29&lt;=(YEAR(A120)*100+MONTH(A120)))*(('직원 마스터'!G$2:G$29="")+('직원 마스터'!G$2:G$29&gt;=(YEAR(A120)*100+MONTH(A120)))),0)),""),"")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마스터'!B$2:B$29,MATCH(1,('직원 마스터'!A$2:A$29=B121)*('직원 마스터'!F$2:F$29&lt;=(YEAR(A121)*100+MONTH(A121)))*(('직원 마스터'!G$2:G$29="")+('직원 마스터'!G$2:G$29&gt;=(YEAR(A121)*100+MONTH(A121)))),0)),""),"")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마스터'!B$2:B$29,MATCH(1,('직원 마스터'!A$2:A$29=B122)*('직원 마스터'!F$2:F$29&lt;=(YEAR(A122)*100+MONTH(A122)))*(('직원 마스터'!G$2:G$29="")+('직원 마스터'!G$2:G$29&gt;=(YEAR(A122)*100+MONTH(A122)))),0)),""),"")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마스터'!B$2:B$29,MATCH(1,('직원 마스터'!A$2:A$29=B123)*('직원 마스터'!F$2:F$29&lt;=(YEAR(A123)*100+MONTH(A123)))*(('직원 마스터'!G$2:G$29="")+('직원 마스터'!G$2:G$29&gt;=(YEAR(A123)*100+MONTH(A123)))),0)),""),"")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마스터'!B$2:B$29,MATCH(1,('직원 마스터'!A$2:A$29=B124)*('직원 마스터'!F$2:F$29&lt;=(YEAR(A124)*100+MONTH(A124)))*(('직원 마스터'!G$2:G$29="")+('직원 마스터'!G$2:G$29&gt;=(YEAR(A124)*100+MONTH(A124)))),0)),""),"")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마스터'!B$2:B$29,MATCH(1,('직원 마스터'!A$2:A$29=B125)*('직원 마스터'!F$2:F$29&lt;=(YEAR(A125)*100+MONTH(A125)))*(('직원 마스터'!G$2:G$29="")+('직원 마스터'!G$2:G$29&gt;=(YEAR(A125)*100+MONTH(A125)))),0)),""),"")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마스터'!B$2:B$29,MATCH(1,('직원 마스터'!A$2:A$29=B126)*('직원 마스터'!F$2:F$29&lt;=(YEAR(A126)*100+MONTH(A126)))*(('직원 마스터'!G$2:G$29="")+('직원 마스터'!G$2:G$29&gt;=(YEAR(A126)*100+MONTH(A126)))),0)),""),"")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마스터'!B$2:B$29,MATCH(1,('직원 마스터'!A$2:A$29=B127)*('직원 마스터'!F$2:F$29&lt;=(YEAR(A127)*100+MONTH(A127)))*(('직원 마스터'!G$2:G$29="")+('직원 마스터'!G$2:G$29&gt;=(YEAR(A127)*100+MONTH(A127)))),0)),""),"")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마스터'!B$2:B$29,MATCH(1,('직원 마스터'!A$2:A$29=B128)*('직원 마스터'!F$2:F$29&lt;=(YEAR(A128)*100+MONTH(A128)))*(('직원 마스터'!G$2:G$29="")+('직원 마스터'!G$2:G$29&gt;=(YEAR(A128)*100+MONTH(A128)))),0)),""),"")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마스터'!B$2:B$29,MATCH(1,('직원 마스터'!A$2:A$29=B129)*('직원 마스터'!F$2:F$29&lt;=(YEAR(A129)*100+MONTH(A129)))*(('직원 마스터'!G$2:G$29="")+('직원 마스터'!G$2:G$29&gt;=(YEAR(A129)*100+MONTH(A129)))),0)),""),"")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마스터'!B$2:B$29,MATCH(1,('직원 마스터'!A$2:A$29=B130)*('직원 마스터'!F$2:F$29&lt;=(YEAR(A130)*100+MONTH(A130)))*(('직원 마스터'!G$2:G$29="")+('직원 마스터'!G$2:G$29&gt;=(YEAR(A130)*100+MONTH(A130)))),0)),""),"")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마스터'!B$2:B$29,MATCH(1,('직원 마스터'!A$2:A$29=B131)*('직원 마스터'!F$2:F$29&lt;=(YEAR(A131)*100+MONTH(A131)))*(('직원 마스터'!G$2:G$29="")+('직원 마스터'!G$2:G$29&gt;=(YEAR(A131)*100+MONTH(A131)))),0)),""),"")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마스터'!B$2:B$29,MATCH(1,('직원 마스터'!A$2:A$29=B132)*('직원 마스터'!F$2:F$29&lt;=(YEAR(A132)*100+MONTH(A132)))*(('직원 마스터'!G$2:G$29="")+('직원 마스터'!G$2:G$29&gt;=(YEAR(A132)*100+MONTH(A132)))),0)),""),"")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마스터'!B$2:B$29,MATCH(1,('직원 마스터'!A$2:A$29=B133)*('직원 마스터'!F$2:F$29&lt;=(YEAR(A133)*100+MONTH(A133)))*(('직원 마스터'!G$2:G$29="")+('직원 마스터'!G$2:G$29&gt;=(YEAR(A133)*100+MONTH(A133)))),0)),""),"")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마스터'!B$2:B$29,MATCH(1,('직원 마스터'!A$2:A$29=B134)*('직원 마스터'!F$2:F$29&lt;=(YEAR(A134)*100+MONTH(A134)))*(('직원 마스터'!G$2:G$29="")+('직원 마스터'!G$2:G$29&gt;=(YEAR(A134)*100+MONTH(A134)))),0)),""),"")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마스터'!B$2:B$29,MATCH(1,('직원 마스터'!A$2:A$29=B135)*('직원 마스터'!F$2:F$29&lt;=(YEAR(A135)*100+MONTH(A135)))*(('직원 마스터'!G$2:G$29="")+('직원 마스터'!G$2:G$29&gt;=(YEAR(A135)*100+MONTH(A135)))),0)),""),"")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마스터'!B$2:B$29,MATCH(1,('직원 마스터'!A$2:A$29=B136)*('직원 마스터'!F$2:F$29&lt;=(YEAR(A136)*100+MONTH(A136)))*(('직원 마스터'!G$2:G$29="")+('직원 마스터'!G$2:G$29&gt;=(YEAR(A136)*100+MONTH(A136)))),0)),""),"")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마스터'!B$2:B$29,MATCH(1,('직원 마스터'!A$2:A$29=B137)*('직원 마스터'!F$2:F$29&lt;=(YEAR(A137)*100+MONTH(A137)))*(('직원 마스터'!G$2:G$29="")+('직원 마스터'!G$2:G$29&gt;=(YEAR(A137)*100+MONTH(A137)))),0)),""),"")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마스터'!B$2:B$29,MATCH(1,('직원 마스터'!A$2:A$29=B138)*('직원 마스터'!F$2:F$29&lt;=(YEAR(A138)*100+MONTH(A138)))*(('직원 마스터'!G$2:G$29="")+('직원 마스터'!G$2:G$29&gt;=(YEAR(A138)*100+MONTH(A138)))),0)),""),"")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마스터'!B$2:B$29,MATCH(1,('직원 마스터'!A$2:A$29=B139)*('직원 마스터'!F$2:F$29&lt;=(YEAR(A139)*100+MONTH(A139)))*(('직원 마스터'!G$2:G$29="")+('직원 마스터'!G$2:G$29&gt;=(YEAR(A139)*100+MONTH(A139)))),0)),""),"")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마스터'!B$2:B$29,MATCH(1,('직원 마스터'!A$2:A$29=B140)*('직원 마스터'!F$2:F$29&lt;=(YEAR(A140)*100+MONTH(A140)))*(('직원 마스터'!G$2:G$29="")+('직원 마스터'!G$2:G$29&gt;=(YEAR(A140)*100+MONTH(A140)))),0)),""),"")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마스터'!B$2:B$29,MATCH(1,('직원 마스터'!A$2:A$29=B141)*('직원 마스터'!F$2:F$29&lt;=(YEAR(A141)*100+MONTH(A141)))*(('직원 마스터'!G$2:G$29="")+('직원 마스터'!G$2:G$29&gt;=(YEAR(A141)*100+MONTH(A141)))),0)),""),"")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마스터'!B$2:B$29,MATCH(1,('직원 마스터'!A$2:A$29=B142)*('직원 마스터'!F$2:F$29&lt;=(YEAR(A142)*100+MONTH(A142)))*(('직원 마스터'!G$2:G$29="")+('직원 마스터'!G$2:G$29&gt;=(YEAR(A142)*100+MONTH(A142)))),0)),""),"")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마스터'!B$2:B$29,MATCH(1,('직원 마스터'!A$2:A$29=B143)*('직원 마스터'!F$2:F$29&lt;=(YEAR(A143)*100+MONTH(A143)))*(('직원 마스터'!G$2:G$29="")+('직원 마스터'!G$2:G$29&gt;=(YEAR(A143)*100+MONTH(A143)))),0)),""),"")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마스터'!B$2:B$29,MATCH(1,('직원 마스터'!A$2:A$29=B144)*('직원 마스터'!F$2:F$29&lt;=(YEAR(A144)*100+MONTH(A144)))*(('직원 마스터'!G$2:G$29="")+('직원 마스터'!G$2:G$29&gt;=(YEAR(A144)*100+MONTH(A144)))),0)),""),"")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마스터'!B$2:B$29,MATCH(1,('직원 마스터'!A$2:A$29=B145)*('직원 마스터'!F$2:F$29&lt;=(YEAR(A145)*100+MONTH(A145)))*(('직원 마스터'!G$2:G$29="")+('직원 마스터'!G$2:G$29&gt;=(YEAR(A145)*100+MONTH(A145)))),0)),""),"")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마스터'!B$2:B$29,MATCH(1,('직원 마스터'!A$2:A$29=B146)*('직원 마스터'!F$2:F$29&lt;=(YEAR(A146)*100+MONTH(A146)))*(('직원 마스터'!G$2:G$29="")+('직원 마스터'!G$2:G$29&gt;=(YEAR(A146)*100+MONTH(A146)))),0)),""),"")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마스터'!B$2:B$29,MATCH(1,('직원 마스터'!A$2:A$29=B147)*('직원 마스터'!F$2:F$29&lt;=(YEAR(A147)*100+MONTH(A147)))*(('직원 마스터'!G$2:G$29="")+('직원 마스터'!G$2:G$29&gt;=(YEAR(A147)*100+MONTH(A147)))),0)),""),"")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마스터'!B$2:B$29,MATCH(1,('직원 마스터'!A$2:A$29=B148)*('직원 마스터'!F$2:F$29&lt;=(YEAR(A148)*100+MONTH(A148)))*(('직원 마스터'!G$2:G$29="")+('직원 마스터'!G$2:G$29&gt;=(YEAR(A148)*100+MONTH(A148)))),0)),""),"")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마스터'!B$2:B$29,MATCH(1,('직원 마스터'!A$2:A$29=B149)*('직원 마스터'!F$2:F$29&lt;=(YEAR(A149)*100+MONTH(A149)))*(('직원 마스터'!G$2:G$29="")+('직원 마스터'!G$2:G$29&gt;=(YEAR(A149)*100+MONTH(A149)))),0)),""),"")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마스터'!B$2:B$29,MATCH(1,('직원 마스터'!A$2:A$29=B150)*('직원 마스터'!F$2:F$29&lt;=(YEAR(A150)*100+MONTH(A150)))*(('직원 마스터'!G$2:G$29="")+('직원 마스터'!G$2:G$29&gt;=(YEAR(A150)*100+MONTH(A150)))),0)),""),"")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마스터'!B$2:B$29,MATCH(1,('직원 마스터'!A$2:A$29=B151)*('직원 마스터'!F$2:F$29&lt;=(YEAR(A151)*100+MONTH(A151)))*(('직원 마스터'!G$2:G$29="")+('직원 마스터'!G$2:G$29&gt;=(YEAR(A151)*100+MONTH(A151)))),0)),""),"")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마스터'!B$2:B$29,MATCH(1,('직원 마스터'!A$2:A$29=B152)*('직원 마스터'!F$2:F$29&lt;=(YEAR(A152)*100+MONTH(A152)))*(('직원 마스터'!G$2:G$29="")+('직원 마스터'!G$2:G$29&gt;=(YEAR(A152)*100+MONTH(A152)))),0)),""),"")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마스터'!B$2:B$29,MATCH(1,('직원 마스터'!A$2:A$29=B153)*('직원 마스터'!F$2:F$29&lt;=(YEAR(A153)*100+MONTH(A153)))*(('직원 마스터'!G$2:G$29="")+('직원 마스터'!G$2:G$29&gt;=(YEAR(A153)*100+MONTH(A153)))),0)),""),"")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마스터'!B$2:B$29,MATCH(1,('직원 마스터'!A$2:A$29=B154)*('직원 마스터'!F$2:F$29&lt;=(YEAR(A154)*100+MONTH(A154)))*(('직원 마스터'!G$2:G$29="")+('직원 마스터'!G$2:G$29&gt;=(YEAR(A154)*100+MONTH(A154)))),0)),""),"")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마스터'!B$2:B$29,MATCH(1,('직원 마스터'!A$2:A$29=B155)*('직원 마스터'!F$2:F$29&lt;=(YEAR(A155)*100+MONTH(A155)))*(('직원 마스터'!G$2:G$29="")+('직원 마스터'!G$2:G$29&gt;=(YEAR(A155)*100+MONTH(A155)))),0)),""),"")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마스터'!B$2:B$29,MATCH(1,('직원 마스터'!A$2:A$29=B156)*('직원 마스터'!F$2:F$29&lt;=(YEAR(A156)*100+MONTH(A156)))*(('직원 마스터'!G$2:G$29="")+('직원 마스터'!G$2:G$29&gt;=(YEAR(A156)*100+MONTH(A156)))),0)),""),"")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마스터'!B$2:B$29,MATCH(1,('직원 마스터'!A$2:A$29=B157)*('직원 마스터'!F$2:F$29&lt;=(YEAR(A157)*100+MONTH(A157)))*(('직원 마스터'!G$2:G$29="")+('직원 마스터'!G$2:G$29&gt;=(YEAR(A157)*100+MONTH(A157)))),0)),""),"")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마스터'!B$2:B$29,MATCH(1,('직원 마스터'!A$2:A$29=B158)*('직원 마스터'!F$2:F$29&lt;=(YEAR(A158)*100+MONTH(A158)))*(('직원 마스터'!G$2:G$29="")+('직원 마스터'!G$2:G$29&gt;=(YEAR(A158)*100+MONTH(A158)))),0)),""),"")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마스터'!B$2:B$29,MATCH(1,('직원 마스터'!A$2:A$29=B159)*('직원 마스터'!F$2:F$29&lt;=(YEAR(A159)*100+MONTH(A159)))*(('직원 마스터'!G$2:G$29="")+('직원 마스터'!G$2:G$29&gt;=(YEAR(A159)*100+MONTH(A159)))),0)),""),"")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마스터'!B$2:B$29,MATCH(1,('직원 마스터'!A$2:A$29=B160)*('직원 마스터'!F$2:F$29&lt;=(YEAR(A160)*100+MONTH(A160)))*(('직원 마스터'!G$2:G$29="")+('직원 마스터'!G$2:G$29&gt;=(YEAR(A160)*100+MONTH(A160)))),0)),""),"")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마스터'!B$2:B$29,MATCH(1,('직원 마스터'!A$2:A$29=B161)*('직원 마스터'!F$2:F$29&lt;=(YEAR(A161)*100+MONTH(A161)))*(('직원 마스터'!G$2:G$29="")+('직원 마스터'!G$2:G$29&gt;=(YEAR(A161)*100+MONTH(A161)))),0)),""),"")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마스터'!B$2:B$29,MATCH(1,('직원 마스터'!A$2:A$29=B162)*('직원 마스터'!F$2:F$29&lt;=(YEAR(A162)*100+MONTH(A162)))*(('직원 마스터'!G$2:G$29="")+('직원 마스터'!G$2:G$29&gt;=(YEAR(A162)*100+MONTH(A162)))),0)),""),"")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마스터'!B$2:B$29,MATCH(1,('직원 마스터'!A$2:A$29=B163)*('직원 마스터'!F$2:F$29&lt;=(YEAR(A163)*100+MONTH(A163)))*(('직원 마스터'!G$2:G$29="")+('직원 마스터'!G$2:G$29&gt;=(YEAR(A163)*100+MONTH(A163)))),0)),""),"")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마스터'!B$2:B$29,MATCH(1,('직원 마스터'!A$2:A$29=B164)*('직원 마스터'!F$2:F$29&lt;=(YEAR(A164)*100+MONTH(A164)))*(('직원 마스터'!G$2:G$29="")+('직원 마스터'!G$2:G$29&gt;=(YEAR(A164)*100+MONTH(A164)))),0)),""),"")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마스터'!B$2:B$29,MATCH(1,('직원 마스터'!A$2:A$29=B165)*('직원 마스터'!F$2:F$29&lt;=(YEAR(A165)*100+MONTH(A165)))*(('직원 마스터'!G$2:G$29="")+('직원 마스터'!G$2:G$29&gt;=(YEAR(A165)*100+MONTH(A165)))),0)),""),"")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마스터'!B$2:B$29,MATCH(1,('직원 마스터'!A$2:A$29=B166)*('직원 마스터'!F$2:F$29&lt;=(YEAR(A166)*100+MONTH(A166)))*(('직원 마스터'!G$2:G$29="")+('직원 마스터'!G$2:G$29&gt;=(YEAR(A166)*100+MONTH(A166)))),0)),""),"")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마스터'!B$2:B$29,MATCH(1,('직원 마스터'!A$2:A$29=B167)*('직원 마스터'!F$2:F$29&lt;=(YEAR(A167)*100+MONTH(A167)))*(('직원 마스터'!G$2:G$29="")+('직원 마스터'!G$2:G$29&gt;=(YEAR(A167)*100+MONTH(A167)))),0)),""),"")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마스터'!B$2:B$29,MATCH(1,('직원 마스터'!A$2:A$29=B168)*('직원 마스터'!F$2:F$29&lt;=(YEAR(A168)*100+MONTH(A168)))*(('직원 마스터'!G$2:G$29="")+('직원 마스터'!G$2:G$29&gt;=(YEAR(A168)*100+MONTH(A168)))),0)),""),"")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마스터'!B$2:B$29,MATCH(1,('직원 마스터'!A$2:A$29=B169)*('직원 마스터'!F$2:F$29&lt;=(YEAR(A169)*100+MONTH(A169)))*(('직원 마스터'!G$2:G$29="")+('직원 마스터'!G$2:G$29&gt;=(YEAR(A169)*100+MONTH(A169)))),0)),""),"")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마스터'!B$2:B$29,MATCH(1,('직원 마스터'!A$2:A$29=B170)*('직원 마스터'!F$2:F$29&lt;=(YEAR(A170)*100+MONTH(A170)))*(('직원 마스터'!G$2:G$29="")+('직원 마스터'!G$2:G$29&gt;=(YEAR(A170)*100+MONTH(A170)))),0)),""),"")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마스터'!B$2:B$29,MATCH(1,('직원 마스터'!A$2:A$29=B171)*('직원 마스터'!F$2:F$29&lt;=(YEAR(A171)*100+MONTH(A171)))*(('직원 마스터'!G$2:G$29="")+('직원 마스터'!G$2:G$29&gt;=(YEAR(A171)*100+MONTH(A171)))),0)),""),"")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마스터'!B$2:B$29,MATCH(1,('직원 마스터'!A$2:A$29=B172)*('직원 마스터'!F$2:F$29&lt;=(YEAR(A172)*100+MONTH(A172)))*(('직원 마스터'!G$2:G$29="")+('직원 마스터'!G$2:G$29&gt;=(YEAR(A172)*100+MONTH(A172)))),0)),""),"")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마스터'!B$2:B$29,MATCH(1,('직원 마스터'!A$2:A$29=B173)*('직원 마스터'!F$2:F$29&lt;=(YEAR(A173)*100+MONTH(A173)))*(('직원 마스터'!G$2:G$29="")+('직원 마스터'!G$2:G$29&gt;=(YEAR(A173)*100+MONTH(A173)))),0)),""),"")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마스터'!B$2:B$29,MATCH(1,('직원 마스터'!A$2:A$29=B174)*('직원 마스터'!F$2:F$29&lt;=(YEAR(A174)*100+MONTH(A174)))*(('직원 마스터'!G$2:G$29="")+('직원 마스터'!G$2:G$29&gt;=(YEAR(A174)*100+MONTH(A174)))),0)),""),"")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마스터'!B$2:B$29,MATCH(1,('직원 마스터'!A$2:A$29=B175)*('직원 마스터'!F$2:F$29&lt;=(YEAR(A175)*100+MONTH(A175)))*(('직원 마스터'!G$2:G$29="")+('직원 마스터'!G$2:G$29&gt;=(YEAR(A175)*100+MONTH(A175)))),0)),""),"")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마스터'!B$2:B$29,MATCH(1,('직원 마스터'!A$2:A$29=B176)*('직원 마스터'!F$2:F$29&lt;=(YEAR(A176)*100+MONTH(A176)))*(('직원 마스터'!G$2:G$29="")+('직원 마스터'!G$2:G$29&gt;=(YEAR(A176)*100+MONTH(A176)))),0)),""),"")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마스터'!B$2:B$29,MATCH(1,('직원 마스터'!A$2:A$29=B177)*('직원 마스터'!F$2:F$29&lt;=(YEAR(A177)*100+MONTH(A177)))*(('직원 마스터'!G$2:G$29="")+('직원 마스터'!G$2:G$29&gt;=(YEAR(A177)*100+MONTH(A177)))),0)),""),"")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마스터'!B$2:B$29,MATCH(1,('직원 마스터'!A$2:A$29=B178)*('직원 마스터'!F$2:F$29&lt;=(YEAR(A178)*100+MONTH(A178)))*(('직원 마스터'!G$2:G$29="")+('직원 마스터'!G$2:G$29&gt;=(YEAR(A178)*100+MONTH(A178)))),0)),""),"")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마스터'!B$2:B$29,MATCH(1,('직원 마스터'!A$2:A$29=B179)*('직원 마스터'!F$2:F$29&lt;=(YEAR(A179)*100+MONTH(A179)))*(('직원 마스터'!G$2:G$29="")+('직원 마스터'!G$2:G$29&gt;=(YEAR(A179)*100+MONTH(A179)))),0)),""),"")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마스터'!B$2:B$29,MATCH(1,('직원 마스터'!A$2:A$29=B180)*('직원 마스터'!F$2:F$29&lt;=(YEAR(A180)*100+MONTH(A180)))*(('직원 마스터'!G$2:G$29="")+('직원 마스터'!G$2:G$29&gt;=(YEAR(A180)*100+MONTH(A180)))),0)),""),"")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마스터'!B$2:B$29,MATCH(1,('직원 마스터'!A$2:A$29=B181)*('직원 마스터'!F$2:F$29&lt;=(YEAR(A181)*100+MONTH(A181)))*(('직원 마스터'!G$2:G$29="")+('직원 마스터'!G$2:G$29&gt;=(YEAR(A181)*100+MONTH(A181)))),0)),""),"")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마스터'!B$2:B$29,MATCH(1,('직원 마스터'!A$2:A$29=B182)*('직원 마스터'!F$2:F$29&lt;=(YEAR(A182)*100+MONTH(A182)))*(('직원 마스터'!G$2:G$29="")+('직원 마스터'!G$2:G$29&gt;=(YEAR(A182)*100+MONTH(A182)))),0)),""),"")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마스터'!B$2:B$29,MATCH(1,('직원 마스터'!A$2:A$29=B183)*('직원 마스터'!F$2:F$29&lt;=(YEAR(A183)*100+MONTH(A183)))*(('직원 마스터'!G$2:G$29="")+('직원 마스터'!G$2:G$29&gt;=(YEAR(A183)*100+MONTH(A183)))),0)),""),"")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마스터'!B$2:B$29,MATCH(1,('직원 마스터'!A$2:A$29=B184)*('직원 마스터'!F$2:F$29&lt;=(YEAR(A184)*100+MONTH(A184)))*(('직원 마스터'!G$2:G$29="")+('직원 마스터'!G$2:G$29&gt;=(YEAR(A184)*100+MONTH(A184)))),0)),""),"")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마스터'!B$2:B$29,MATCH(1,('직원 마스터'!A$2:A$29=B185)*('직원 마스터'!F$2:F$29&lt;=(YEAR(A185)*100+MONTH(A185)))*(('직원 마스터'!G$2:G$29="")+('직원 마스터'!G$2:G$29&gt;=(YEAR(A185)*100+MONTH(A185)))),0)),""),"")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마스터'!B$2:B$29,MATCH(1,('직원 마스터'!A$2:A$29=B186)*('직원 마스터'!F$2:F$29&lt;=(YEAR(A186)*100+MONTH(A186)))*(('직원 마스터'!G$2:G$29="")+('직원 마스터'!G$2:G$29&gt;=(YEAR(A186)*100+MONTH(A186)))),0)),""),"")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마스터'!B$2:B$29,MATCH(1,('직원 마스터'!A$2:A$29=B187)*('직원 마스터'!F$2:F$29&lt;=(YEAR(A187)*100+MONTH(A187)))*(('직원 마스터'!G$2:G$29="")+('직원 마스터'!G$2:G$29&gt;=(YEAR(A187)*100+MONTH(A187)))),0)),""),"")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마스터'!B$2:B$29,MATCH(1,('직원 마스터'!A$2:A$29=B188)*('직원 마스터'!F$2:F$29&lt;=(YEAR(A188)*100+MONTH(A188)))*(('직원 마스터'!G$2:G$29="")+('직원 마스터'!G$2:G$29&gt;=(YEAR(A188)*100+MONTH(A188)))),0)),""),"")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마스터'!B$2:B$29,MATCH(1,('직원 마스터'!A$2:A$29=B189)*('직원 마스터'!F$2:F$29&lt;=(YEAR(A189)*100+MONTH(A189)))*(('직원 마스터'!G$2:G$29="")+('직원 마스터'!G$2:G$29&gt;=(YEAR(A189)*100+MONTH(A189)))),0)),""),"")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마스터'!B$2:B$29,MATCH(1,('직원 마스터'!A$2:A$29=B190)*('직원 마스터'!F$2:F$29&lt;=(YEAR(A190)*100+MONTH(A190)))*(('직원 마스터'!G$2:G$29="")+('직원 마스터'!G$2:G$29&gt;=(YEAR(A190)*100+MONTH(A190)))),0)),""),"")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마스터'!B$2:B$29,MATCH(1,('직원 마스터'!A$2:A$29=B191)*('직원 마스터'!F$2:F$29&lt;=(YEAR(A191)*100+MONTH(A191)))*(('직원 마스터'!G$2:G$29="")+('직원 마스터'!G$2:G$29&gt;=(YEAR(A191)*100+MONTH(A191)))),0)),""),"")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마스터'!B$2:B$29,MATCH(1,('직원 마스터'!A$2:A$29=B192)*('직원 마스터'!F$2:F$29&lt;=(YEAR(A192)*100+MONTH(A192)))*(('직원 마스터'!G$2:G$29="")+('직원 마스터'!G$2:G$29&gt;=(YEAR(A192)*100+MONTH(A192)))),0)),""),"")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마스터'!B$2:B$29,MATCH(1,('직원 마스터'!A$2:A$29=B193)*('직원 마스터'!F$2:F$29&lt;=(YEAR(A193)*100+MONTH(A193)))*(('직원 마스터'!G$2:G$29="")+('직원 마스터'!G$2:G$29&gt;=(YEAR(A193)*100+MONTH(A193)))),0)),""),"")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마스터'!B$2:B$29,MATCH(1,('직원 마스터'!A$2:A$29=B194)*('직원 마스터'!F$2:F$29&lt;=(YEAR(A194)*100+MONTH(A194)))*(('직원 마스터'!G$2:G$29="")+('직원 마스터'!G$2:G$29&gt;=(YEAR(A194)*100+MONTH(A194)))),0)),""),"")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마스터'!B$2:B$29,MATCH(1,('직원 마스터'!A$2:A$29=B195)*('직원 마스터'!F$2:F$29&lt;=(YEAR(A195)*100+MONTH(A195)))*(('직원 마스터'!G$2:G$29="")+('직원 마스터'!G$2:G$29&gt;=(YEAR(A195)*100+MONTH(A195)))),0)),""),"")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마스터'!B$2:B$29,MATCH(1,('직원 마스터'!A$2:A$29=B196)*('직원 마스터'!F$2:F$29&lt;=(YEAR(A196)*100+MONTH(A196)))*(('직원 마스터'!G$2:G$29="")+('직원 마스터'!G$2:G$29&gt;=(YEAR(A196)*100+MONTH(A196)))),0)),""),"")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마스터'!B$2:B$29,MATCH(1,('직원 마스터'!A$2:A$29=B197)*('직원 마스터'!F$2:F$29&lt;=(YEAR(A197)*100+MONTH(A197)))*(('직원 마스터'!G$2:G$29="")+('직원 마스터'!G$2:G$29&gt;=(YEAR(A197)*100+MONTH(A197)))),0)),""),"")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마스터'!B$2:B$29,MATCH(1,('직원 마스터'!A$2:A$29=B198)*('직원 마스터'!F$2:F$29&lt;=(YEAR(A198)*100+MONTH(A198)))*(('직원 마스터'!G$2:G$29="")+('직원 마스터'!G$2:G$29&gt;=(YEAR(A198)*100+MONTH(A198)))),0)),""),"")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마스터'!B$2:B$29,MATCH(1,('직원 마스터'!A$2:A$29=B199)*('직원 마스터'!F$2:F$29&lt;=(YEAR(A199)*100+MONTH(A199)))*(('직원 마스터'!G$2:G$29="")+('직원 마스터'!G$2:G$29&gt;=(YEAR(A199)*100+MONTH(A199)))),0)),""),"")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마스터'!B$2:B$29,MATCH(1,('직원 마스터'!A$2:A$29=B200)*('직원 마스터'!F$2:F$29&lt;=(YEAR(A200)*100+MONTH(A200)))*(('직원 마스터'!G$2:G$29="")+('직원 마스터'!G$2:G$29&gt;=(YEAR(A200)*100+MONTH(A200)))),0)),""),"")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마스터'!B$2:B$29,MATCH(1,('직원 마스터'!A$2:A$29=B201)*('직원 마스터'!F$2:F$29&lt;=(YEAR(A201)*100+MONTH(A201)))*(('직원 마스터'!G$2:G$29="")+('직원 마스터'!G$2:G$29&gt;=(YEAR(A201)*100+MONTH(A201)))),0)),""),"")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마스터'!B$2:B$29,MATCH(1,('직원 마스터'!A$2:A$29=B202)*('직원 마스터'!F$2:F$29&lt;=(YEAR(A202)*100+MONTH(A202)))*(('직원 마스터'!G$2:G$29="")+('직원 마스터'!G$2:G$29&gt;=(YEAR(A202)*100+MONTH(A202)))),0)),""),"")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마스터'!B$2:B$29,MATCH(1,('직원 마스터'!A$2:A$29=B203)*('직원 마스터'!F$2:F$29&lt;=(YEAR(A203)*100+MONTH(A203)))*(('직원 마스터'!G$2:G$29="")+('직원 마스터'!G$2:G$29&gt;=(YEAR(A203)*100+MONTH(A203)))),0)),""),"")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마스터'!B$2:B$29,MATCH(1,('직원 마스터'!A$2:A$29=B204)*('직원 마스터'!F$2:F$29&lt;=(YEAR(A204)*100+MONTH(A204)))*(('직원 마스터'!G$2:G$29="")+('직원 마스터'!G$2:G$29&gt;=(YEAR(A204)*100+MONTH(A204)))),0)),""),"")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마스터'!B$2:B$29,MATCH(1,('직원 마스터'!A$2:A$29=B205)*('직원 마스터'!F$2:F$29&lt;=(YEAR(A205)*100+MONTH(A205)))*(('직원 마스터'!G$2:G$29="")+('직원 마스터'!G$2:G$29&gt;=(YEAR(A205)*100+MONTH(A205)))),0)),""),"")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마스터'!B$2:B$29,MATCH(1,('직원 마스터'!A$2:A$29=B206)*('직원 마스터'!F$2:F$29&lt;=(YEAR(A206)*100+MONTH(A206)))*(('직원 마스터'!G$2:G$29="")+('직원 마스터'!G$2:G$29&gt;=(YEAR(A206)*100+MONTH(A206)))),0)),""),"")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마스터'!B$2:B$29,MATCH(1,('직원 마스터'!A$2:A$29=B207)*('직원 마스터'!F$2:F$29&lt;=(YEAR(A207)*100+MONTH(A207)))*(('직원 마스터'!G$2:G$29="")+('직원 마스터'!G$2:G$29&gt;=(YEAR(A207)*100+MONTH(A207)))),0)),""),"")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마스터'!B$2:B$29,MATCH(1,('직원 마스터'!A$2:A$29=B208)*('직원 마스터'!F$2:F$29&lt;=(YEAR(A208)*100+MONTH(A208)))*(('직원 마스터'!G$2:G$29="")+('직원 마스터'!G$2:G$29&gt;=(YEAR(A208)*100+MONTH(A208)))),0)),""),"")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마스터'!B$2:B$29,MATCH(1,('직원 마스터'!A$2:A$29=B209)*('직원 마스터'!F$2:F$29&lt;=(YEAR(A209)*100+MONTH(A209)))*(('직원 마스터'!G$2:G$29="")+('직원 마스터'!G$2:G$29&gt;=(YEAR(A209)*100+MONTH(A209)))),0)),""),"")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마스터'!B$2:B$29,MATCH(1,('직원 마스터'!A$2:A$29=B210)*('직원 마스터'!F$2:F$29&lt;=(YEAR(A210)*100+MONTH(A210)))*(('직원 마스터'!G$2:G$29="")+('직원 마스터'!G$2:G$29&gt;=(YEAR(A210)*100+MONTH(A210)))),0)),""),"")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마스터'!B$2:B$29,MATCH(1,('직원 마스터'!A$2:A$29=B211)*('직원 마스터'!F$2:F$29&lt;=(YEAR(A211)*100+MONTH(A211)))*(('직원 마스터'!G$2:G$29="")+('직원 마스터'!G$2:G$29&gt;=(YEAR(A211)*100+MONTH(A211)))),0)),""),"")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마스터'!B$2:B$29,MATCH(1,('직원 마스터'!A$2:A$29=B212)*('직원 마스터'!F$2:F$29&lt;=(YEAR(A212)*100+MONTH(A212)))*(('직원 마스터'!G$2:G$29="")+('직원 마스터'!G$2:G$29&gt;=(YEAR(A212)*100+MONTH(A212)))),0)),""),"")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마스터'!B$2:B$29,MATCH(1,('직원 마스터'!A$2:A$29=B213)*('직원 마스터'!F$2:F$29&lt;=(YEAR(A213)*100+MONTH(A213)))*(('직원 마스터'!G$2:G$29="")+('직원 마스터'!G$2:G$29&gt;=(YEAR(A213)*100+MONTH(A213)))),0)),""),"")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마스터'!B$2:B$29,MATCH(1,('직원 마스터'!A$2:A$29=B214)*('직원 마스터'!F$2:F$29&lt;=(YEAR(A214)*100+MONTH(A214)))*(('직원 마스터'!G$2:G$29="")+('직원 마스터'!G$2:G$29&gt;=(YEAR(A214)*100+MONTH(A214)))),0)),""),"")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마스터'!B$2:B$29,MATCH(1,('직원 마스터'!A$2:A$29=B215)*('직원 마스터'!F$2:F$29&lt;=(YEAR(A215)*100+MONTH(A215)))*(('직원 마스터'!G$2:G$29="")+('직원 마스터'!G$2:G$29&gt;=(YEAR(A215)*100+MONTH(A215)))),0)),""),"")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마스터'!B$2:B$29,MATCH(1,('직원 마스터'!A$2:A$29=B216)*('직원 마스터'!F$2:F$29&lt;=(YEAR(A216)*100+MONTH(A216)))*(('직원 마스터'!G$2:G$29="")+('직원 마스터'!G$2:G$29&gt;=(YEAR(A216)*100+MONTH(A216)))),0)),""),"")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마스터'!B$2:B$29,MATCH(1,('직원 마스터'!A$2:A$29=B217)*('직원 마스터'!F$2:F$29&lt;=(YEAR(A217)*100+MONTH(A217)))*(('직원 마스터'!G$2:G$29="")+('직원 마스터'!G$2:G$29&gt;=(YEAR(A217)*100+MONTH(A217)))),0)),""),"")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마스터'!B$2:B$29,MATCH(1,('직원 마스터'!A$2:A$29=B218)*('직원 마스터'!F$2:F$29&lt;=(YEAR(A218)*100+MONTH(A218)))*(('직원 마스터'!G$2:G$29="")+('직원 마스터'!G$2:G$29&gt;=(YEAR(A218)*100+MONTH(A218)))),0)),""),"")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마스터'!B$2:B$29,MATCH(1,('직원 마스터'!A$2:A$29=B219)*('직원 마스터'!F$2:F$29&lt;=(YEAR(A219)*100+MONTH(A219)))*(('직원 마스터'!G$2:G$29="")+('직원 마스터'!G$2:G$29&gt;=(YEAR(A219)*100+MONTH(A219)))),0)),""),"")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마스터'!B$2:B$29,MATCH(1,('직원 마스터'!A$2:A$29=B220)*('직원 마스터'!F$2:F$29&lt;=(YEAR(A220)*100+MONTH(A220)))*(('직원 마스터'!G$2:G$29="")+('직원 마스터'!G$2:G$29&gt;=(YEAR(A220)*100+MONTH(A220)))),0)),""),"")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마스터'!B$2:B$29,MATCH(1,('직원 마스터'!A$2:A$29=B221)*('직원 마스터'!F$2:F$29&lt;=(YEAR(A221)*100+MONTH(A221)))*(('직원 마스터'!G$2:G$29="")+('직원 마스터'!G$2:G$29&gt;=(YEAR(A221)*100+MONTH(A221)))),0)),""),"")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마스터'!B$2:B$29,MATCH(1,('직원 마스터'!A$2:A$29=B222)*('직원 마스터'!F$2:F$29&lt;=(YEAR(A222)*100+MONTH(A222)))*(('직원 마스터'!G$2:G$29="")+('직원 마스터'!G$2:G$29&gt;=(YEAR(A222)*100+MONTH(A222)))),0)),""),"")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마스터'!B$2:B$29,MATCH(1,('직원 마스터'!A$2:A$29=B223)*('직원 마스터'!F$2:F$29&lt;=(YEAR(A223)*100+MONTH(A223)))*(('직원 마스터'!G$2:G$29="")+('직원 마스터'!G$2:G$29&gt;=(YEAR(A223)*100+MONTH(A223)))),0)),""),"")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마스터'!B$2:B$29,MATCH(1,('직원 마스터'!A$2:A$29=B224)*('직원 마스터'!F$2:F$29&lt;=(YEAR(A224)*100+MONTH(A224)))*(('직원 마스터'!G$2:G$29="")+('직원 마스터'!G$2:G$29&gt;=(YEAR(A224)*100+MONTH(A224)))),0)),""),"")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마스터'!B$2:B$29,MATCH(1,('직원 마스터'!A$2:A$29=B225)*('직원 마스터'!F$2:F$29&lt;=(YEAR(A225)*100+MONTH(A225)))*(('직원 마스터'!G$2:G$29="")+('직원 마스터'!G$2:G$29&gt;=(YEAR(A225)*100+MONTH(A225)))),0)),""),"")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마스터'!B$2:B$29,MATCH(1,('직원 마스터'!A$2:A$29=B226)*('직원 마스터'!F$2:F$29&lt;=(YEAR(A226)*100+MONTH(A226)))*(('직원 마스터'!G$2:G$29="")+('직원 마스터'!G$2:G$29&gt;=(YEAR(A226)*100+MONTH(A226)))),0)),""),"")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마스터'!B$2:B$29,MATCH(1,('직원 마스터'!A$2:A$29=B227)*('직원 마스터'!F$2:F$29&lt;=(YEAR(A227)*100+MONTH(A227)))*(('직원 마스터'!G$2:G$29="")+('직원 마스터'!G$2:G$29&gt;=(YEAR(A227)*100+MONTH(A227)))),0)),""),"")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마스터'!B$2:B$29,MATCH(1,('직원 마스터'!A$2:A$29=B228)*('직원 마스터'!F$2:F$29&lt;=(YEAR(A228)*100+MONTH(A228)))*(('직원 마스터'!G$2:G$29="")+('직원 마스터'!G$2:G$29&gt;=(YEAR(A228)*100+MONTH(A228)))),0)),""),"")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마스터'!B$2:B$29,MATCH(1,('직원 마스터'!A$2:A$29=B229)*('직원 마스터'!F$2:F$29&lt;=(YEAR(A229)*100+MONTH(A229)))*(('직원 마스터'!G$2:G$29="")+('직원 마스터'!G$2:G$29&gt;=(YEAR(A229)*100+MONTH(A229)))),0)),""),"")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마스터'!B$2:B$29,MATCH(1,('직원 마스터'!A$2:A$29=B230)*('직원 마스터'!F$2:F$29&lt;=(YEAR(A230)*100+MONTH(A230)))*(('직원 마스터'!G$2:G$29="")+('직원 마스터'!G$2:G$29&gt;=(YEAR(A230)*100+MONTH(A230)))),0)),""),"")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마스터'!B$2:B$29,MATCH(1,('직원 마스터'!A$2:A$29=B231)*('직원 마스터'!F$2:F$29&lt;=(YEAR(A231)*100+MONTH(A231)))*(('직원 마스터'!G$2:G$29="")+('직원 마스터'!G$2:G$29&gt;=(YEAR(A231)*100+MONTH(A231)))),0)),""),"")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마스터'!B$2:B$29,MATCH(1,('직원 마스터'!A$2:A$29=B232)*('직원 마스터'!F$2:F$29&lt;=(YEAR(A232)*100+MONTH(A232)))*(('직원 마스터'!G$2:G$29="")+('직원 마스터'!G$2:G$29&gt;=(YEAR(A232)*100+MONTH(A232)))),0)),""),"")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마스터'!B$2:B$29,MATCH(1,('직원 마스터'!A$2:A$29=B233)*('직원 마스터'!F$2:F$29&lt;=(YEAR(A233)*100+MONTH(A233)))*(('직원 마스터'!G$2:G$29="")+('직원 마스터'!G$2:G$29&gt;=(YEAR(A233)*100+MONTH(A233)))),0)),""),"")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마스터'!B$2:B$29,MATCH(1,('직원 마스터'!A$2:A$29=B234)*('직원 마스터'!F$2:F$29&lt;=(YEAR(A234)*100+MONTH(A234)))*(('직원 마스터'!G$2:G$29="")+('직원 마스터'!G$2:G$29&gt;=(YEAR(A234)*100+MONTH(A234)))),0)),""),"")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마스터'!B$2:B$29,MATCH(1,('직원 마스터'!A$2:A$29=B235)*('직원 마스터'!F$2:F$29&lt;=(YEAR(A235)*100+MONTH(A235)))*(('직원 마스터'!G$2:G$29="")+('직원 마스터'!G$2:G$29&gt;=(YEAR(A235)*100+MONTH(A235)))),0)),""),"")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마스터'!B$2:B$29,MATCH(1,('직원 마스터'!A$2:A$29=B236)*('직원 마스터'!F$2:F$29&lt;=(YEAR(A236)*100+MONTH(A236)))*(('직원 마스터'!G$2:G$29="")+('직원 마스터'!G$2:G$29&gt;=(YEAR(A236)*100+MONTH(A236)))),0)),""),"")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마스터'!B$2:B$29,MATCH(1,('직원 마스터'!A$2:A$29=B237)*('직원 마스터'!F$2:F$29&lt;=(YEAR(A237)*100+MONTH(A237)))*(('직원 마스터'!G$2:G$29="")+('직원 마스터'!G$2:G$29&gt;=(YEAR(A237)*100+MONTH(A237)))),0)),""),"")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마스터'!B$2:B$29,MATCH(1,('직원 마스터'!A$2:A$29=B238)*('직원 마스터'!F$2:F$29&lt;=(YEAR(A238)*100+MONTH(A238)))*(('직원 마스터'!G$2:G$29="")+('직원 마스터'!G$2:G$29&gt;=(YEAR(A238)*100+MONTH(A238)))),0)),""),"")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마스터'!C$2:C$29,MATCH(1,('직원 마스터'!A$2:A$29=B239)*('직원 마스터'!F$2:F$29&lt;=(YEAR(A239)*100+MONTH(A239)))*(('직원 마스터'!G$2:G$29="")+('직원 마스터'!G$2:G$29&gt;=(YEAR(A239)*100+MONTH(A239)))),0)),0),0)</f>
        <v/>
      </c>
      <c r="G239" s="8">
        <f>IFERROR(IF(B239&lt;&gt;"",INDEX('직원 마스터'!B$2:B$29,MATCH(1,('직원 마스터'!A$2:A$29=B239)*('직원 마스터'!F$2:F$29&lt;=(YEAR(A239)*100+MONTH(A239)))*(('직원 마스터'!G$2:G$29="")+('직원 마스터'!G$2:G$29&gt;=(YEAR(A239)*100+MONTH(A239)))),0)),""),"")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마스터'!C$2:C$29,MATCH(1,('직원 마스터'!A$2:A$29=B240)*('직원 마스터'!F$2:F$29&lt;=(YEAR(A240)*100+MONTH(A240)))*(('직원 마스터'!G$2:G$29="")+('직원 마스터'!G$2:G$29&gt;=(YEAR(A240)*100+MONTH(A240)))),0)),0),0)</f>
        <v/>
      </c>
      <c r="G240" s="8">
        <f>IFERROR(IF(B240&lt;&gt;"",INDEX('직원 마스터'!B$2:B$29,MATCH(1,('직원 마스터'!A$2:A$29=B240)*('직원 마스터'!F$2:F$29&lt;=(YEAR(A240)*100+MONTH(A240)))*(('직원 마스터'!G$2:G$29="")+('직원 마스터'!G$2:G$29&gt;=(YEAR(A240)*100+MONTH(A240)))),0)),""),"")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마스터'!C$2:C$29,MATCH(1,('직원 마스터'!A$2:A$29=B241)*('직원 마스터'!F$2:F$29&lt;=(YEAR(A241)*100+MONTH(A241)))*(('직원 마스터'!G$2:G$29="")+('직원 마스터'!G$2:G$29&gt;=(YEAR(A241)*100+MONTH(A241)))),0)),0),0)</f>
        <v/>
      </c>
      <c r="G241" s="8">
        <f>IFERROR(IF(B241&lt;&gt;"",INDEX('직원 마스터'!B$2:B$29,MATCH(1,('직원 마스터'!A$2:A$29=B241)*('직원 마스터'!F$2:F$29&lt;=(YEAR(A241)*100+MONTH(A241)))*(('직원 마스터'!G$2:G$29="")+('직원 마스터'!G$2:G$29&gt;=(YEAR(A241)*100+MONTH(A241)))),0)),""),"")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마스터'!C$2:C$29,MATCH(1,('직원 마스터'!A$2:A$29=B242)*('직원 마스터'!F$2:F$29&lt;=(YEAR(A242)*100+MONTH(A242)))*(('직원 마스터'!G$2:G$29="")+('직원 마스터'!G$2:G$29&gt;=(YEAR(A242)*100+MONTH(A242)))),0)),0),0)</f>
        <v/>
      </c>
      <c r="G242" s="8">
        <f>IFERROR(IF(B242&lt;&gt;"",INDEX('직원 마스터'!B$2:B$29,MATCH(1,('직원 마스터'!A$2:A$29=B242)*('직원 마스터'!F$2:F$29&lt;=(YEAR(A242)*100+MONTH(A242)))*(('직원 마스터'!G$2:G$29="")+('직원 마스터'!G$2:G$29&gt;=(YEAR(A242)*100+MONTH(A242)))),0)),""),"")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마스터'!C$2:C$29,MATCH(1,('직원 마스터'!A$2:A$29=B243)*('직원 마스터'!F$2:F$29&lt;=(YEAR(A243)*100+MONTH(A243)))*(('직원 마스터'!G$2:G$29="")+('직원 마스터'!G$2:G$29&gt;=(YEAR(A243)*100+MONTH(A243)))),0)),0),0)</f>
        <v/>
      </c>
      <c r="G243" s="8">
        <f>IFERROR(IF(B243&lt;&gt;"",INDEX('직원 마스터'!B$2:B$29,MATCH(1,('직원 마스터'!A$2:A$29=B243)*('직원 마스터'!F$2:F$29&lt;=(YEAR(A243)*100+MONTH(A243)))*(('직원 마스터'!G$2:G$29="")+('직원 마스터'!G$2:G$29&gt;=(YEAR(A243)*100+MONTH(A243)))),0)),""),"")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마스터'!C$2:C$29,MATCH(1,('직원 마스터'!A$2:A$29=B244)*('직원 마스터'!F$2:F$29&lt;=(YEAR(A244)*100+MONTH(A244)))*(('직원 마스터'!G$2:G$29="")+('직원 마스터'!G$2:G$29&gt;=(YEAR(A244)*100+MONTH(A244)))),0)),0),0)</f>
        <v/>
      </c>
      <c r="G244" s="8">
        <f>IFERROR(IF(B244&lt;&gt;"",INDEX('직원 마스터'!B$2:B$29,MATCH(1,('직원 마스터'!A$2:A$29=B244)*('직원 마스터'!F$2:F$29&lt;=(YEAR(A244)*100+MONTH(A244)))*(('직원 마스터'!G$2:G$29="")+('직원 마스터'!G$2:G$29&gt;=(YEAR(A244)*100+MONTH(A244)))),0)),""),"")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마스터'!C$2:C$29,MATCH(1,('직원 마스터'!A$2:A$29=B245)*('직원 마스터'!F$2:F$29&lt;=(YEAR(A245)*100+MONTH(A245)))*(('직원 마스터'!G$2:G$29="")+('직원 마스터'!G$2:G$29&gt;=(YEAR(A245)*100+MONTH(A245)))),0)),0),0)</f>
        <v/>
      </c>
      <c r="G245" s="8">
        <f>IFERROR(IF(B245&lt;&gt;"",INDEX('직원 마스터'!B$2:B$29,MATCH(1,('직원 마스터'!A$2:A$29=B245)*('직원 마스터'!F$2:F$29&lt;=(YEAR(A245)*100+MONTH(A245)))*(('직원 마스터'!G$2:G$29="")+('직원 마스터'!G$2:G$29&gt;=(YEAR(A245)*100+MONTH(A245)))),0)),""),"")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마스터'!C$2:C$29,MATCH(1,('직원 마스터'!A$2:A$29=B246)*('직원 마스터'!F$2:F$29&lt;=(YEAR(A246)*100+MONTH(A246)))*(('직원 마스터'!G$2:G$29="")+('직원 마스터'!G$2:G$29&gt;=(YEAR(A246)*100+MONTH(A246)))),0)),0),0)</f>
        <v/>
      </c>
      <c r="G246" s="8">
        <f>IFERROR(IF(B246&lt;&gt;"",INDEX('직원 마스터'!B$2:B$29,MATCH(1,('직원 마스터'!A$2:A$29=B246)*('직원 마스터'!F$2:F$29&lt;=(YEAR(A246)*100+MONTH(A246)))*(('직원 마스터'!G$2:G$29="")+('직원 마스터'!G$2:G$29&gt;=(YEAR(A246)*100+MONTH(A246)))),0)),""),"")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마스터'!C$2:C$29,MATCH(1,('직원 마스터'!A$2:A$29=B247)*('직원 마스터'!F$2:F$29&lt;=(YEAR(A247)*100+MONTH(A247)))*(('직원 마스터'!G$2:G$29="")+('직원 마스터'!G$2:G$29&gt;=(YEAR(A247)*100+MONTH(A247)))),0)),0),0)</f>
        <v/>
      </c>
      <c r="G247" s="8">
        <f>IFERROR(IF(B247&lt;&gt;"",INDEX('직원 마스터'!B$2:B$29,MATCH(1,('직원 마스터'!A$2:A$29=B247)*('직원 마스터'!F$2:F$29&lt;=(YEAR(A247)*100+MONTH(A247)))*(('직원 마스터'!G$2:G$29="")+('직원 마스터'!G$2:G$29&gt;=(YEAR(A247)*100+MONTH(A247)))),0)),""),"")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마스터'!C$2:C$29,MATCH(1,('직원 마스터'!A$2:A$29=B248)*('직원 마스터'!F$2:F$29&lt;=(YEAR(A248)*100+MONTH(A248)))*(('직원 마스터'!G$2:G$29="")+('직원 마스터'!G$2:G$29&gt;=(YEAR(A248)*100+MONTH(A248)))),0)),0),0)</f>
        <v/>
      </c>
      <c r="G248" s="8">
        <f>IFERROR(IF(B248&lt;&gt;"",INDEX('직원 마스터'!B$2:B$29,MATCH(1,('직원 마스터'!A$2:A$29=B248)*('직원 마스터'!F$2:F$29&lt;=(YEAR(A248)*100+MONTH(A248)))*(('직원 마스터'!G$2:G$29="")+('직원 마스터'!G$2:G$29&gt;=(YEAR(A248)*100+MONTH(A248)))),0)),""),"")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마스터'!C$2:C$29,MATCH(1,('직원 마스터'!A$2:A$29=B249)*('직원 마스터'!F$2:F$29&lt;=(YEAR(A249)*100+MONTH(A249)))*(('직원 마스터'!G$2:G$29="")+('직원 마스터'!G$2:G$29&gt;=(YEAR(A249)*100+MONTH(A249)))),0)),0),0)</f>
        <v/>
      </c>
      <c r="G249" s="8">
        <f>IFERROR(IF(B249&lt;&gt;"",INDEX('직원 마스터'!B$2:B$29,MATCH(1,('직원 마스터'!A$2:A$29=B249)*('직원 마스터'!F$2:F$29&lt;=(YEAR(A249)*100+MONTH(A249)))*(('직원 마스터'!G$2:G$29="")+('직원 마스터'!G$2:G$29&gt;=(YEAR(A249)*100+MONTH(A249)))),0)),""),"")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마스터'!C$2:C$29,MATCH(1,('직원 마스터'!A$2:A$29=B250)*('직원 마스터'!F$2:F$29&lt;=(YEAR(A250)*100+MONTH(A250)))*(('직원 마스터'!G$2:G$29="")+('직원 마스터'!G$2:G$29&gt;=(YEAR(A250)*100+MONTH(A250)))),0)),0),0)</f>
        <v/>
      </c>
      <c r="G250" s="8">
        <f>IFERROR(IF(B250&lt;&gt;"",INDEX('직원 마스터'!B$2:B$29,MATCH(1,('직원 마스터'!A$2:A$29=B250)*('직원 마스터'!F$2:F$29&lt;=(YEAR(A250)*100+MONTH(A250)))*(('직원 마스터'!G$2:G$29="")+('직원 마스터'!G$2:G$29&gt;=(YEAR(A250)*100+MONTH(A250)))),0)),""),"")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마스터'!C$2:C$29,MATCH(1,('직원 마스터'!A$2:A$29=B251)*('직원 마스터'!F$2:F$29&lt;=(YEAR(A251)*100+MONTH(A251)))*(('직원 마스터'!G$2:G$29="")+('직원 마스터'!G$2:G$29&gt;=(YEAR(A251)*100+MONTH(A251)))),0)),0),0)</f>
        <v/>
      </c>
      <c r="G251" s="8">
        <f>IFERROR(IF(B251&lt;&gt;"",INDEX('직원 마스터'!B$2:B$29,MATCH(1,('직원 마스터'!A$2:A$29=B251)*('직원 마스터'!F$2:F$29&lt;=(YEAR(A251)*100+MONTH(A251)))*(('직원 마스터'!G$2:G$29="")+('직원 마스터'!G$2:G$29&gt;=(YEAR(A251)*100+MONTH(A251)))),0)),""),"")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마스터'!C$2:C$29,MATCH(1,('직원 마스터'!A$2:A$29=B252)*('직원 마스터'!F$2:F$29&lt;=(YEAR(A252)*100+MONTH(A252)))*(('직원 마스터'!G$2:G$29="")+('직원 마스터'!G$2:G$29&gt;=(YEAR(A252)*100+MONTH(A252)))),0)),0),0)</f>
        <v/>
      </c>
      <c r="G252" s="8">
        <f>IFERROR(IF(B252&lt;&gt;"",INDEX('직원 마스터'!B$2:B$29,MATCH(1,('직원 마스터'!A$2:A$29=B252)*('직원 마스터'!F$2:F$29&lt;=(YEAR(A252)*100+MONTH(A252)))*(('직원 마스터'!G$2:G$29="")+('직원 마스터'!G$2:G$29&gt;=(YEAR(A252)*100+MONTH(A252)))),0)),""),"")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마스터'!C$2:C$29,MATCH(1,('직원 마스터'!A$2:A$29=B253)*('직원 마스터'!F$2:F$29&lt;=(YEAR(A253)*100+MONTH(A253)))*(('직원 마스터'!G$2:G$29="")+('직원 마스터'!G$2:G$29&gt;=(YEAR(A253)*100+MONTH(A253)))),0)),0),0)</f>
        <v/>
      </c>
      <c r="G253" s="8">
        <f>IFERROR(IF(B253&lt;&gt;"",INDEX('직원 마스터'!B$2:B$29,MATCH(1,('직원 마스터'!A$2:A$29=B253)*('직원 마스터'!F$2:F$29&lt;=(YEAR(A253)*100+MONTH(A253)))*(('직원 마스터'!G$2:G$29="")+('직원 마스터'!G$2:G$29&gt;=(YEAR(A253)*100+MONTH(A253)))),0)),""),"")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마스터'!C$2:C$29,MATCH(1,('직원 마스터'!A$2:A$29=B254)*('직원 마스터'!F$2:F$29&lt;=(YEAR(A254)*100+MONTH(A254)))*(('직원 마스터'!G$2:G$29="")+('직원 마스터'!G$2:G$29&gt;=(YEAR(A254)*100+MONTH(A254)))),0)),0),0)</f>
        <v/>
      </c>
      <c r="G254" s="8">
        <f>IFERROR(IF(B254&lt;&gt;"",INDEX('직원 마스터'!B$2:B$29,MATCH(1,('직원 마스터'!A$2:A$29=B254)*('직원 마스터'!F$2:F$29&lt;=(YEAR(A254)*100+MONTH(A254)))*(('직원 마스터'!G$2:G$29="")+('직원 마스터'!G$2:G$29&gt;=(YEAR(A254)*100+MONTH(A254)))),0)),""),"")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마스터'!C$2:C$29,MATCH(1,('직원 마스터'!A$2:A$29=B255)*('직원 마스터'!F$2:F$29&lt;=(YEAR(A255)*100+MONTH(A255)))*(('직원 마스터'!G$2:G$29="")+('직원 마스터'!G$2:G$29&gt;=(YEAR(A255)*100+MONTH(A255)))),0)),0),0)</f>
        <v/>
      </c>
      <c r="G255" s="8">
        <f>IFERROR(IF(B255&lt;&gt;"",INDEX('직원 마스터'!B$2:B$29,MATCH(1,('직원 마스터'!A$2:A$29=B255)*('직원 마스터'!F$2:F$29&lt;=(YEAR(A255)*100+MONTH(A255)))*(('직원 마스터'!G$2:G$29="")+('직원 마스터'!G$2:G$29&gt;=(YEAR(A255)*100+MONTH(A255)))),0)),""),"")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마스터'!C$2:C$29,MATCH(1,('직원 마스터'!A$2:A$29=B256)*('직원 마스터'!F$2:F$29&lt;=(YEAR(A256)*100+MONTH(A256)))*(('직원 마스터'!G$2:G$29="")+('직원 마스터'!G$2:G$29&gt;=(YEAR(A256)*100+MONTH(A256)))),0)),0),0)</f>
        <v/>
      </c>
      <c r="G256" s="8">
        <f>IFERROR(IF(B256&lt;&gt;"",INDEX('직원 마스터'!B$2:B$29,MATCH(1,('직원 마스터'!A$2:A$29=B256)*('직원 마스터'!F$2:F$29&lt;=(YEAR(A256)*100+MONTH(A256)))*(('직원 마스터'!G$2:G$29="")+('직원 마스터'!G$2:G$29&gt;=(YEAR(A256)*100+MONTH(A256)))),0)),""),"")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마스터'!C$2:C$29,MATCH(1,('직원 마스터'!A$2:A$29=B257)*('직원 마스터'!F$2:F$29&lt;=(YEAR(A257)*100+MONTH(A257)))*(('직원 마스터'!G$2:G$29="")+('직원 마스터'!G$2:G$29&gt;=(YEAR(A257)*100+MONTH(A257)))),0)),0),0)</f>
        <v/>
      </c>
      <c r="G257" s="8">
        <f>IFERROR(IF(B257&lt;&gt;"",INDEX('직원 마스터'!B$2:B$29,MATCH(1,('직원 마스터'!A$2:A$29=B257)*('직원 마스터'!F$2:F$29&lt;=(YEAR(A257)*100+MONTH(A257)))*(('직원 마스터'!G$2:G$29="")+('직원 마스터'!G$2:G$29&gt;=(YEAR(A257)*100+MONTH(A257)))),0)),""),"")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마스터'!C$2:C$29,MATCH(1,('직원 마스터'!A$2:A$29=B258)*('직원 마스터'!F$2:F$29&lt;=(YEAR(A258)*100+MONTH(A258)))*(('직원 마스터'!G$2:G$29="")+('직원 마스터'!G$2:G$29&gt;=(YEAR(A258)*100+MONTH(A258)))),0)),0),0)</f>
        <v/>
      </c>
      <c r="G258" s="8">
        <f>IFERROR(IF(B258&lt;&gt;"",INDEX('직원 마스터'!B$2:B$29,MATCH(1,('직원 마스터'!A$2:A$29=B258)*('직원 마스터'!F$2:F$29&lt;=(YEAR(A258)*100+MONTH(A258)))*(('직원 마스터'!G$2:G$29="")+('직원 마스터'!G$2:G$29&gt;=(YEAR(A258)*100+MONTH(A258)))),0)),""),"")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마스터'!C$2:C$29,MATCH(1,('직원 마스터'!A$2:A$29=B259)*('직원 마스터'!F$2:F$29&lt;=(YEAR(A259)*100+MONTH(A259)))*(('직원 마스터'!G$2:G$29="")+('직원 마스터'!G$2:G$29&gt;=(YEAR(A259)*100+MONTH(A259)))),0)),0),0)</f>
        <v/>
      </c>
      <c r="G259" s="8">
        <f>IFERROR(IF(B259&lt;&gt;"",INDEX('직원 마스터'!B$2:B$29,MATCH(1,('직원 마스터'!A$2:A$29=B259)*('직원 마스터'!F$2:F$29&lt;=(YEAR(A259)*100+MONTH(A259)))*(('직원 마스터'!G$2:G$29="")+('직원 마스터'!G$2:G$29&gt;=(YEAR(A259)*100+MONTH(A259)))),0)),""),"")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마스터'!C$2:C$29,MATCH(1,('직원 마스터'!A$2:A$29=B260)*('직원 마스터'!F$2:F$29&lt;=(YEAR(A260)*100+MONTH(A260)))*(('직원 마스터'!G$2:G$29="")+('직원 마스터'!G$2:G$29&gt;=(YEAR(A260)*100+MONTH(A260)))),0)),0),0)</f>
        <v/>
      </c>
      <c r="G260" s="8">
        <f>IFERROR(IF(B260&lt;&gt;"",INDEX('직원 마스터'!B$2:B$29,MATCH(1,('직원 마스터'!A$2:A$29=B260)*('직원 마스터'!F$2:F$29&lt;=(YEAR(A260)*100+MONTH(A260)))*(('직원 마스터'!G$2:G$29="")+('직원 마스터'!G$2:G$29&gt;=(YEAR(A260)*100+MONTH(A260)))),0)),""),"")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마스터'!C$2:C$29,MATCH(1,('직원 마스터'!A$2:A$29=B261)*('직원 마스터'!F$2:F$29&lt;=(YEAR(A261)*100+MONTH(A261)))*(('직원 마스터'!G$2:G$29="")+('직원 마스터'!G$2:G$29&gt;=(YEAR(A261)*100+MONTH(A261)))),0)),0),0)</f>
        <v/>
      </c>
      <c r="G261" s="8">
        <f>IFERROR(IF(B261&lt;&gt;"",INDEX('직원 마스터'!B$2:B$29,MATCH(1,('직원 마스터'!A$2:A$29=B261)*('직원 마스터'!F$2:F$29&lt;=(YEAR(A261)*100+MONTH(A261)))*(('직원 마스터'!G$2:G$29="")+('직원 마스터'!G$2:G$29&gt;=(YEAR(A261)*100+MONTH(A261)))),0)),""),"")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마스터'!C$2:C$29,MATCH(1,('직원 마스터'!A$2:A$29=B262)*('직원 마스터'!F$2:F$29&lt;=(YEAR(A262)*100+MONTH(A262)))*(('직원 마스터'!G$2:G$29="")+('직원 마스터'!G$2:G$29&gt;=(YEAR(A262)*100+MONTH(A262)))),0)),0),0)</f>
        <v/>
      </c>
      <c r="G262" s="8">
        <f>IFERROR(IF(B262&lt;&gt;"",INDEX('직원 마스터'!B$2:B$29,MATCH(1,('직원 마스터'!A$2:A$29=B262)*('직원 마스터'!F$2:F$29&lt;=(YEAR(A262)*100+MONTH(A262)))*(('직원 마스터'!G$2:G$29="")+('직원 마스터'!G$2:G$29&gt;=(YEAR(A262)*100+MONTH(A262)))),0)),""),"")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마스터'!C$2:C$29,MATCH(1,('직원 마스터'!A$2:A$29=B263)*('직원 마스터'!F$2:F$29&lt;=(YEAR(A263)*100+MONTH(A263)))*(('직원 마스터'!G$2:G$29="")+('직원 마스터'!G$2:G$29&gt;=(YEAR(A263)*100+MONTH(A263)))),0)),0),0)</f>
        <v/>
      </c>
      <c r="G263" s="8">
        <f>IFERROR(IF(B263&lt;&gt;"",INDEX('직원 마스터'!B$2:B$29,MATCH(1,('직원 마스터'!A$2:A$29=B263)*('직원 마스터'!F$2:F$29&lt;=(YEAR(A263)*100+MONTH(A263)))*(('직원 마스터'!G$2:G$29="")+('직원 마스터'!G$2:G$29&gt;=(YEAR(A263)*100+MONTH(A263)))),0)),""),"")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마스터'!C$2:C$29,MATCH(1,('직원 마스터'!A$2:A$29=B264)*('직원 마스터'!F$2:F$29&lt;=(YEAR(A264)*100+MONTH(A264)))*(('직원 마스터'!G$2:G$29="")+('직원 마스터'!G$2:G$29&gt;=(YEAR(A264)*100+MONTH(A264)))),0)),0),0)</f>
        <v/>
      </c>
      <c r="G264" s="8">
        <f>IFERROR(IF(B264&lt;&gt;"",INDEX('직원 마스터'!B$2:B$29,MATCH(1,('직원 마스터'!A$2:A$29=B264)*('직원 마스터'!F$2:F$29&lt;=(YEAR(A264)*100+MONTH(A264)))*(('직원 마스터'!G$2:G$29="")+('직원 마스터'!G$2:G$29&gt;=(YEAR(A264)*100+MONTH(A264)))),0)),""),"")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마스터'!C$2:C$29,MATCH(1,('직원 마스터'!A$2:A$29=B265)*('직원 마스터'!F$2:F$29&lt;=(YEAR(A265)*100+MONTH(A265)))*(('직원 마스터'!G$2:G$29="")+('직원 마스터'!G$2:G$29&gt;=(YEAR(A265)*100+MONTH(A265)))),0)),0),0)</f>
        <v/>
      </c>
      <c r="G265" s="8">
        <f>IFERROR(IF(B265&lt;&gt;"",INDEX('직원 마스터'!B$2:B$29,MATCH(1,('직원 마스터'!A$2:A$29=B265)*('직원 마스터'!F$2:F$29&lt;=(YEAR(A265)*100+MONTH(A265)))*(('직원 마스터'!G$2:G$29="")+('직원 마스터'!G$2:G$29&gt;=(YEAR(A265)*100+MONTH(A265)))),0)),""),"")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마스터'!C$2:C$29,MATCH(1,('직원 마스터'!A$2:A$29=B266)*('직원 마스터'!F$2:F$29&lt;=(YEAR(A266)*100+MONTH(A266)))*(('직원 마스터'!G$2:G$29="")+('직원 마스터'!G$2:G$29&gt;=(YEAR(A266)*100+MONTH(A266)))),0)),0),0)</f>
        <v/>
      </c>
      <c r="G266" s="8">
        <f>IFERROR(IF(B266&lt;&gt;"",INDEX('직원 마스터'!B$2:B$29,MATCH(1,('직원 마스터'!A$2:A$29=B266)*('직원 마스터'!F$2:F$29&lt;=(YEAR(A266)*100+MONTH(A266)))*(('직원 마스터'!G$2:G$29="")+('직원 마스터'!G$2:G$29&gt;=(YEAR(A266)*100+MONTH(A266)))),0)),""),"")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마스터'!C$2:C$29,MATCH(1,('직원 마스터'!A$2:A$29=B267)*('직원 마스터'!F$2:F$29&lt;=(YEAR(A267)*100+MONTH(A267)))*(('직원 마스터'!G$2:G$29="")+('직원 마스터'!G$2:G$29&gt;=(YEAR(A267)*100+MONTH(A267)))),0)),0),0)</f>
        <v/>
      </c>
      <c r="G267" s="8">
        <f>IFERROR(IF(B267&lt;&gt;"",INDEX('직원 마스터'!B$2:B$29,MATCH(1,('직원 마스터'!A$2:A$29=B267)*('직원 마스터'!F$2:F$29&lt;=(YEAR(A267)*100+MONTH(A267)))*(('직원 마스터'!G$2:G$29="")+('직원 마스터'!G$2:G$29&gt;=(YEAR(A267)*100+MONTH(A267)))),0)),""),"")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마스터'!C$2:C$29,MATCH(1,('직원 마스터'!A$2:A$29=B268)*('직원 마스터'!F$2:F$29&lt;=(YEAR(A268)*100+MONTH(A268)))*(('직원 마스터'!G$2:G$29="")+('직원 마스터'!G$2:G$29&gt;=(YEAR(A268)*100+MONTH(A268)))),0)),0),0)</f>
        <v/>
      </c>
      <c r="G268" s="8">
        <f>IFERROR(IF(B268&lt;&gt;"",INDEX('직원 마스터'!B$2:B$29,MATCH(1,('직원 마스터'!A$2:A$29=B268)*('직원 마스터'!F$2:F$29&lt;=(YEAR(A268)*100+MONTH(A268)))*(('직원 마스터'!G$2:G$29="")+('직원 마스터'!G$2:G$29&gt;=(YEAR(A268)*100+MONTH(A268)))),0)),""),"")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마스터'!C$2:C$29,MATCH(1,('직원 마스터'!A$2:A$29=B269)*('직원 마스터'!F$2:F$29&lt;=(YEAR(A269)*100+MONTH(A269)))*(('직원 마스터'!G$2:G$29="")+('직원 마스터'!G$2:G$29&gt;=(YEAR(A269)*100+MONTH(A269)))),0)),0),0)</f>
        <v/>
      </c>
      <c r="G269" s="8">
        <f>IFERROR(IF(B269&lt;&gt;"",INDEX('직원 마스터'!B$2:B$29,MATCH(1,('직원 마스터'!A$2:A$29=B269)*('직원 마스터'!F$2:F$29&lt;=(YEAR(A269)*100+MONTH(A269)))*(('직원 마스터'!G$2:G$29="")+('직원 마스터'!G$2:G$29&gt;=(YEAR(A269)*100+MONTH(A269)))),0)),""),"")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마스터'!C$2:C$29,MATCH(1,('직원 마스터'!A$2:A$29=B270)*('직원 마스터'!F$2:F$29&lt;=(YEAR(A270)*100+MONTH(A270)))*(('직원 마스터'!G$2:G$29="")+('직원 마스터'!G$2:G$29&gt;=(YEAR(A270)*100+MONTH(A270)))),0)),0),0)</f>
        <v/>
      </c>
      <c r="G270" s="8">
        <f>IFERROR(IF(B270&lt;&gt;"",INDEX('직원 마스터'!B$2:B$29,MATCH(1,('직원 마스터'!A$2:A$29=B270)*('직원 마스터'!F$2:F$29&lt;=(YEAR(A270)*100+MONTH(A270)))*(('직원 마스터'!G$2:G$29="")+('직원 마스터'!G$2:G$29&gt;=(YEAR(A270)*100+MONTH(A270)))),0)),""),"")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마스터'!C$2:C$29,MATCH(1,('직원 마스터'!A$2:A$29=B271)*('직원 마스터'!F$2:F$29&lt;=(YEAR(A271)*100+MONTH(A271)))*(('직원 마스터'!G$2:G$29="")+('직원 마스터'!G$2:G$29&gt;=(YEAR(A271)*100+MONTH(A271)))),0)),0),0)</f>
        <v/>
      </c>
      <c r="G271" s="8">
        <f>IFERROR(IF(B271&lt;&gt;"",INDEX('직원 마스터'!B$2:B$29,MATCH(1,('직원 마스터'!A$2:A$29=B271)*('직원 마스터'!F$2:F$29&lt;=(YEAR(A271)*100+MONTH(A271)))*(('직원 마스터'!G$2:G$29="")+('직원 마스터'!G$2:G$29&gt;=(YEAR(A271)*100+MONTH(A271)))),0)),""),"")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마스터'!C$2:C$29,MATCH(1,('직원 마스터'!A$2:A$29=B272)*('직원 마스터'!F$2:F$29&lt;=(YEAR(A272)*100+MONTH(A272)))*(('직원 마스터'!G$2:G$29="")+('직원 마스터'!G$2:G$29&gt;=(YEAR(A272)*100+MONTH(A272)))),0)),0),0)</f>
        <v/>
      </c>
      <c r="G272" s="8">
        <f>IFERROR(IF(B272&lt;&gt;"",INDEX('직원 마스터'!B$2:B$29,MATCH(1,('직원 마스터'!A$2:A$29=B272)*('직원 마스터'!F$2:F$29&lt;=(YEAR(A272)*100+MONTH(A272)))*(('직원 마스터'!G$2:G$29="")+('직원 마스터'!G$2:G$29&gt;=(YEAR(A272)*100+MONTH(A272)))),0)),""),"")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마스터'!C$2:C$29,MATCH(1,('직원 마스터'!A$2:A$29=B273)*('직원 마스터'!F$2:F$29&lt;=(YEAR(A273)*100+MONTH(A273)))*(('직원 마스터'!G$2:G$29="")+('직원 마스터'!G$2:G$29&gt;=(YEAR(A273)*100+MONTH(A273)))),0)),0),0)</f>
        <v/>
      </c>
      <c r="G273" s="8">
        <f>IFERROR(IF(B273&lt;&gt;"",INDEX('직원 마스터'!B$2:B$29,MATCH(1,('직원 마스터'!A$2:A$29=B273)*('직원 마스터'!F$2:F$29&lt;=(YEAR(A273)*100+MONTH(A273)))*(('직원 마스터'!G$2:G$29="")+('직원 마스터'!G$2:G$29&gt;=(YEAR(A273)*100+MONTH(A273)))),0)),""),"")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마스터'!C$2:C$29,MATCH(1,('직원 마스터'!A$2:A$29=B274)*('직원 마스터'!F$2:F$29&lt;=(YEAR(A274)*100+MONTH(A274)))*(('직원 마스터'!G$2:G$29="")+('직원 마스터'!G$2:G$29&gt;=(YEAR(A274)*100+MONTH(A274)))),0)),0),0)</f>
        <v/>
      </c>
      <c r="G274" s="8">
        <f>IFERROR(IF(B274&lt;&gt;"",INDEX('직원 마스터'!B$2:B$29,MATCH(1,('직원 마스터'!A$2:A$29=B274)*('직원 마스터'!F$2:F$29&lt;=(YEAR(A274)*100+MONTH(A274)))*(('직원 마스터'!G$2:G$29="")+('직원 마스터'!G$2:G$29&gt;=(YEAR(A274)*100+MONTH(A274)))),0)),""),"")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마스터'!C$2:C$29,MATCH(1,('직원 마스터'!A$2:A$29=B275)*('직원 마스터'!F$2:F$29&lt;=(YEAR(A275)*100+MONTH(A275)))*(('직원 마스터'!G$2:G$29="")+('직원 마스터'!G$2:G$29&gt;=(YEAR(A275)*100+MONTH(A275)))),0)),0),0)</f>
        <v/>
      </c>
      <c r="G275" s="8">
        <f>IFERROR(IF(B275&lt;&gt;"",INDEX('직원 마스터'!B$2:B$29,MATCH(1,('직원 마스터'!A$2:A$29=B275)*('직원 마스터'!F$2:F$29&lt;=(YEAR(A275)*100+MONTH(A275)))*(('직원 마스터'!G$2:G$29="")+('직원 마스터'!G$2:G$29&gt;=(YEAR(A275)*100+MONTH(A275)))),0)),""),"")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마스터'!C$2:C$29,MATCH(1,('직원 마스터'!A$2:A$29=B276)*('직원 마스터'!F$2:F$29&lt;=(YEAR(A276)*100+MONTH(A276)))*(('직원 마스터'!G$2:G$29="")+('직원 마스터'!G$2:G$29&gt;=(YEAR(A276)*100+MONTH(A276)))),0)),0),0)</f>
        <v/>
      </c>
      <c r="G276" s="8">
        <f>IFERROR(IF(B276&lt;&gt;"",INDEX('직원 마스터'!B$2:B$29,MATCH(1,('직원 마스터'!A$2:A$29=B276)*('직원 마스터'!F$2:F$29&lt;=(YEAR(A276)*100+MONTH(A276)))*(('직원 마스터'!G$2:G$29="")+('직원 마스터'!G$2:G$29&gt;=(YEAR(A276)*100+MONTH(A276)))),0)),""),"")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마스터'!C$2:C$29,MATCH(1,('직원 마스터'!A$2:A$29=B277)*('직원 마스터'!F$2:F$29&lt;=(YEAR(A277)*100+MONTH(A277)))*(('직원 마스터'!G$2:G$29="")+('직원 마스터'!G$2:G$29&gt;=(YEAR(A277)*100+MONTH(A277)))),0)),0),0)</f>
        <v/>
      </c>
      <c r="G277" s="8">
        <f>IFERROR(IF(B277&lt;&gt;"",INDEX('직원 마스터'!B$2:B$29,MATCH(1,('직원 마스터'!A$2:A$29=B277)*('직원 마스터'!F$2:F$29&lt;=(YEAR(A277)*100+MONTH(A277)))*(('직원 마스터'!G$2:G$29="")+('직원 마스터'!G$2:G$29&gt;=(YEAR(A277)*100+MONTH(A277)))),0)),""),"")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마스터'!C$2:C$29,MATCH(1,('직원 마스터'!A$2:A$29=B278)*('직원 마스터'!F$2:F$29&lt;=(YEAR(A278)*100+MONTH(A278)))*(('직원 마스터'!G$2:G$29="")+('직원 마스터'!G$2:G$29&gt;=(YEAR(A278)*100+MONTH(A278)))),0)),0),0)</f>
        <v/>
      </c>
      <c r="G278" s="8">
        <f>IFERROR(IF(B278&lt;&gt;"",INDEX('직원 마스터'!B$2:B$29,MATCH(1,('직원 마스터'!A$2:A$29=B278)*('직원 마스터'!F$2:F$29&lt;=(YEAR(A278)*100+MONTH(A278)))*(('직원 마스터'!G$2:G$29="")+('직원 마스터'!G$2:G$29&gt;=(YEAR(A278)*100+MONTH(A278)))),0)),""),"")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마스터'!C$2:C$29,MATCH(1,('직원 마스터'!A$2:A$29=B279)*('직원 마스터'!F$2:F$29&lt;=(YEAR(A279)*100+MONTH(A279)))*(('직원 마스터'!G$2:G$29="")+('직원 마스터'!G$2:G$29&gt;=(YEAR(A279)*100+MONTH(A279)))),0)),0),0)</f>
        <v/>
      </c>
      <c r="G279" s="8">
        <f>IFERROR(IF(B279&lt;&gt;"",INDEX('직원 마스터'!B$2:B$29,MATCH(1,('직원 마스터'!A$2:A$29=B279)*('직원 마스터'!F$2:F$29&lt;=(YEAR(A279)*100+MONTH(A279)))*(('직원 마스터'!G$2:G$29="")+('직원 마스터'!G$2:G$29&gt;=(YEAR(A279)*100+MONTH(A279)))),0)),""),"")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마스터'!C$2:C$29,MATCH(1,('직원 마스터'!A$2:A$29=B280)*('직원 마스터'!F$2:F$29&lt;=(YEAR(A280)*100+MONTH(A280)))*(('직원 마스터'!G$2:G$29="")+('직원 마스터'!G$2:G$29&gt;=(YEAR(A280)*100+MONTH(A280)))),0)),0),0)</f>
        <v/>
      </c>
      <c r="G280" s="8">
        <f>IFERROR(IF(B280&lt;&gt;"",INDEX('직원 마스터'!B$2:B$29,MATCH(1,('직원 마스터'!A$2:A$29=B280)*('직원 마스터'!F$2:F$29&lt;=(YEAR(A280)*100+MONTH(A280)))*(('직원 마스터'!G$2:G$29="")+('직원 마스터'!G$2:G$29&gt;=(YEAR(A280)*100+MONTH(A280)))),0)),""),"")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마스터'!C$2:C$29,MATCH(1,('직원 마스터'!A$2:A$29=B281)*('직원 마스터'!F$2:F$29&lt;=(YEAR(A281)*100+MONTH(A281)))*(('직원 마스터'!G$2:G$29="")+('직원 마스터'!G$2:G$29&gt;=(YEAR(A281)*100+MONTH(A281)))),0)),0),0)</f>
        <v/>
      </c>
      <c r="G281" s="8">
        <f>IFERROR(IF(B281&lt;&gt;"",INDEX('직원 마스터'!B$2:B$29,MATCH(1,('직원 마스터'!A$2:A$29=B281)*('직원 마스터'!F$2:F$29&lt;=(YEAR(A281)*100+MONTH(A281)))*(('직원 마스터'!G$2:G$29="")+('직원 마스터'!G$2:G$29&gt;=(YEAR(A281)*100+MONTH(A281)))),0)),""),"")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마스터'!C$2:C$29,MATCH(1,('직원 마스터'!A$2:A$29=B282)*('직원 마스터'!F$2:F$29&lt;=(YEAR(A282)*100+MONTH(A282)))*(('직원 마스터'!G$2:G$29="")+('직원 마스터'!G$2:G$29&gt;=(YEAR(A282)*100+MONTH(A282)))),0)),0),0)</f>
        <v/>
      </c>
      <c r="G282" s="8">
        <f>IFERROR(IF(B282&lt;&gt;"",INDEX('직원 마스터'!B$2:B$29,MATCH(1,('직원 마스터'!A$2:A$29=B282)*('직원 마스터'!F$2:F$29&lt;=(YEAR(A282)*100+MONTH(A282)))*(('직원 마스터'!G$2:G$29="")+('직원 마스터'!G$2:G$29&gt;=(YEAR(A282)*100+MONTH(A282)))),0)),""),"")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마스터'!C$2:C$29,MATCH(1,('직원 마스터'!A$2:A$29=B283)*('직원 마스터'!F$2:F$29&lt;=(YEAR(A283)*100+MONTH(A283)))*(('직원 마스터'!G$2:G$29="")+('직원 마스터'!G$2:G$29&gt;=(YEAR(A283)*100+MONTH(A283)))),0)),0),0)</f>
        <v/>
      </c>
      <c r="G283" s="8">
        <f>IFERROR(IF(B283&lt;&gt;"",INDEX('직원 마스터'!B$2:B$29,MATCH(1,('직원 마스터'!A$2:A$29=B283)*('직원 마스터'!F$2:F$29&lt;=(YEAR(A283)*100+MONTH(A283)))*(('직원 마스터'!G$2:G$29="")+('직원 마스터'!G$2:G$29&gt;=(YEAR(A283)*100+MONTH(A283)))),0)),""),"")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마스터'!C$2:C$29,MATCH(1,('직원 마스터'!A$2:A$29=B284)*('직원 마스터'!F$2:F$29&lt;=(YEAR(A284)*100+MONTH(A284)))*(('직원 마스터'!G$2:G$29="")+('직원 마스터'!G$2:G$29&gt;=(YEAR(A284)*100+MONTH(A284)))),0)),0),0)</f>
        <v/>
      </c>
      <c r="G284" s="8">
        <f>IFERROR(IF(B284&lt;&gt;"",INDEX('직원 마스터'!B$2:B$29,MATCH(1,('직원 마스터'!A$2:A$29=B284)*('직원 마스터'!F$2:F$29&lt;=(YEAR(A284)*100+MONTH(A284)))*(('직원 마스터'!G$2:G$29="")+('직원 마스터'!G$2:G$29&gt;=(YEAR(A284)*100+MONTH(A284)))),0)),""),"")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마스터'!C$2:C$29,MATCH(1,('직원 마스터'!A$2:A$29=B285)*('직원 마스터'!F$2:F$29&lt;=(YEAR(A285)*100+MONTH(A285)))*(('직원 마스터'!G$2:G$29="")+('직원 마스터'!G$2:G$29&gt;=(YEAR(A285)*100+MONTH(A285)))),0)),0),0)</f>
        <v/>
      </c>
      <c r="G285" s="8">
        <f>IFERROR(IF(B285&lt;&gt;"",INDEX('직원 마스터'!B$2:B$29,MATCH(1,('직원 마스터'!A$2:A$29=B285)*('직원 마스터'!F$2:F$29&lt;=(YEAR(A285)*100+MONTH(A285)))*(('직원 마스터'!G$2:G$29="")+('직원 마스터'!G$2:G$29&gt;=(YEAR(A285)*100+MONTH(A285)))),0)),""),"")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마스터'!C$2:C$29,MATCH(1,('직원 마스터'!A$2:A$29=B286)*('직원 마스터'!F$2:F$29&lt;=(YEAR(A286)*100+MONTH(A286)))*(('직원 마스터'!G$2:G$29="")+('직원 마스터'!G$2:G$29&gt;=(YEAR(A286)*100+MONTH(A286)))),0)),0),0)</f>
        <v/>
      </c>
      <c r="G286" s="8">
        <f>IFERROR(IF(B286&lt;&gt;"",INDEX('직원 마스터'!B$2:B$29,MATCH(1,('직원 마스터'!A$2:A$29=B286)*('직원 마스터'!F$2:F$29&lt;=(YEAR(A286)*100+MONTH(A286)))*(('직원 마스터'!G$2:G$29="")+('직원 마스터'!G$2:G$29&gt;=(YEAR(A286)*100+MONTH(A286)))),0)),""),"")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마스터'!C$2:C$29,MATCH(1,('직원 마스터'!A$2:A$29=B287)*('직원 마스터'!F$2:F$29&lt;=(YEAR(A287)*100+MONTH(A287)))*(('직원 마스터'!G$2:G$29="")+('직원 마스터'!G$2:G$29&gt;=(YEAR(A287)*100+MONTH(A287)))),0)),0),0)</f>
        <v/>
      </c>
      <c r="G287" s="8">
        <f>IFERROR(IF(B287&lt;&gt;"",INDEX('직원 마스터'!B$2:B$29,MATCH(1,('직원 마스터'!A$2:A$29=B287)*('직원 마스터'!F$2:F$29&lt;=(YEAR(A287)*100+MONTH(A287)))*(('직원 마스터'!G$2:G$29="")+('직원 마스터'!G$2:G$29&gt;=(YEAR(A287)*100+MONTH(A287)))),0)),""),"")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마스터'!C$2:C$29,MATCH(1,('직원 마스터'!A$2:A$29=B288)*('직원 마스터'!F$2:F$29&lt;=(YEAR(A288)*100+MONTH(A288)))*(('직원 마스터'!G$2:G$29="")+('직원 마스터'!G$2:G$29&gt;=(YEAR(A288)*100+MONTH(A288)))),0)),0),0)</f>
        <v/>
      </c>
      <c r="G288" s="8">
        <f>IFERROR(IF(B288&lt;&gt;"",INDEX('직원 마스터'!B$2:B$29,MATCH(1,('직원 마스터'!A$2:A$29=B288)*('직원 마스터'!F$2:F$29&lt;=(YEAR(A288)*100+MONTH(A288)))*(('직원 마스터'!G$2:G$29="")+('직원 마스터'!G$2:G$29&gt;=(YEAR(A288)*100+MONTH(A288)))),0)),""),"")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</cols>
  <sheetData>
    <row r="1" ht="25" customHeight="1">
      <c r="A1" s="1" t="inlineStr">
        <is>
          <t>이름</t>
        </is>
      </c>
      <c r="B1" s="1" t="inlineStr">
        <is>
          <t>월</t>
        </is>
      </c>
      <c r="C1" s="1" t="inlineStr">
        <is>
          <t>지급여부</t>
        </is>
      </c>
    </row>
    <row r="2">
      <c r="A2" s="10" t="inlineStr">
        <is>
          <t>고경민</t>
        </is>
      </c>
      <c r="B2" s="11" t="n">
        <v>202501</v>
      </c>
      <c r="C2" s="10" t="inlineStr">
        <is>
          <t>O</t>
        </is>
      </c>
    </row>
    <row r="3">
      <c r="A3" s="10" t="inlineStr">
        <is>
          <t>유은비</t>
        </is>
      </c>
      <c r="B3" s="11" t="n">
        <v>202501</v>
      </c>
      <c r="C3" s="10" t="inlineStr">
        <is>
          <t>O</t>
        </is>
      </c>
    </row>
    <row r="4">
      <c r="A4" s="10" t="inlineStr">
        <is>
          <t>장예원</t>
        </is>
      </c>
      <c r="B4" s="11" t="n">
        <v>202501</v>
      </c>
      <c r="C4" s="10" t="inlineStr">
        <is>
          <t>O</t>
        </is>
      </c>
    </row>
    <row r="5">
      <c r="A5" s="10" t="inlineStr">
        <is>
          <t>고경민</t>
        </is>
      </c>
      <c r="B5" s="11" t="n">
        <v>202502</v>
      </c>
      <c r="C5" s="10" t="inlineStr">
        <is>
          <t>O</t>
        </is>
      </c>
    </row>
    <row r="6">
      <c r="A6" s="10" t="inlineStr">
        <is>
          <t>유은비</t>
        </is>
      </c>
      <c r="B6" s="11" t="n">
        <v>202502</v>
      </c>
      <c r="C6" s="10" t="inlineStr">
        <is>
          <t>O</t>
        </is>
      </c>
    </row>
    <row r="7">
      <c r="A7" s="10" t="inlineStr">
        <is>
          <t>장예원</t>
        </is>
      </c>
      <c r="B7" s="11" t="n">
        <v>202502</v>
      </c>
      <c r="C7" s="10" t="inlineStr">
        <is>
          <t>O</t>
        </is>
      </c>
    </row>
    <row r="8">
      <c r="A8" s="10" t="inlineStr">
        <is>
          <t>전민아</t>
        </is>
      </c>
      <c r="B8" s="11" t="n">
        <v>202502</v>
      </c>
      <c r="C8" s="10" t="inlineStr">
        <is>
          <t>O</t>
        </is>
      </c>
    </row>
    <row r="9">
      <c r="A9" s="10" t="inlineStr">
        <is>
          <t>고경민</t>
        </is>
      </c>
      <c r="B9" s="11" t="n">
        <v>202503</v>
      </c>
      <c r="C9" s="10" t="inlineStr">
        <is>
          <t>O</t>
        </is>
      </c>
    </row>
    <row r="10">
      <c r="A10" s="10" t="inlineStr">
        <is>
          <t>장예원</t>
        </is>
      </c>
      <c r="B10" s="11" t="n">
        <v>202503</v>
      </c>
      <c r="C10" s="10" t="inlineStr">
        <is>
          <t>O</t>
        </is>
      </c>
    </row>
    <row r="11">
      <c r="A11" s="10" t="inlineStr">
        <is>
          <t>전민아</t>
        </is>
      </c>
      <c r="B11" s="11" t="n">
        <v>202503</v>
      </c>
      <c r="C11" s="10" t="inlineStr">
        <is>
          <t>O</t>
        </is>
      </c>
    </row>
    <row r="12">
      <c r="A12" s="10" t="inlineStr">
        <is>
          <t>고경민</t>
        </is>
      </c>
      <c r="B12" s="11" t="n">
        <v>202504</v>
      </c>
      <c r="C12" s="10" t="inlineStr">
        <is>
          <t>O</t>
        </is>
      </c>
    </row>
    <row r="13">
      <c r="A13" s="10" t="inlineStr">
        <is>
          <t>장예원</t>
        </is>
      </c>
      <c r="B13" s="11" t="n">
        <v>202504</v>
      </c>
      <c r="C13" s="10" t="inlineStr">
        <is>
          <t>O</t>
        </is>
      </c>
    </row>
    <row r="14">
      <c r="A14" s="10" t="inlineStr">
        <is>
          <t>전민아</t>
        </is>
      </c>
      <c r="B14" s="11" t="n">
        <v>202504</v>
      </c>
      <c r="C14" s="10" t="inlineStr">
        <is>
          <t>O</t>
        </is>
      </c>
    </row>
    <row r="15">
      <c r="A15" s="12" t="inlineStr">
        <is>
          <t>고경민</t>
        </is>
      </c>
      <c r="B15" s="13" t="n">
        <v>202505</v>
      </c>
      <c r="C15" s="12" t="inlineStr">
        <is>
          <t>X</t>
        </is>
      </c>
    </row>
    <row r="16">
      <c r="A16" s="12" t="inlineStr">
        <is>
          <t>장예원</t>
        </is>
      </c>
      <c r="B16" s="13" t="n">
        <v>202505</v>
      </c>
      <c r="C16" s="12" t="inlineStr">
        <is>
          <t>X</t>
        </is>
      </c>
    </row>
    <row r="17">
      <c r="A17" s="12" t="inlineStr">
        <is>
          <t>전민아</t>
        </is>
      </c>
      <c r="B17" s="13" t="n">
        <v>202505</v>
      </c>
      <c r="C17" s="12" t="inlineStr">
        <is>
          <t>X</t>
        </is>
      </c>
    </row>
    <row r="18">
      <c r="A18" s="12" t="inlineStr">
        <is>
          <t>고경민</t>
        </is>
      </c>
      <c r="B18" s="13" t="n">
        <v>202506</v>
      </c>
      <c r="C18" s="12" t="inlineStr">
        <is>
          <t>X</t>
        </is>
      </c>
    </row>
    <row r="19">
      <c r="A19" s="12" t="inlineStr">
        <is>
          <t>김채현</t>
        </is>
      </c>
      <c r="B19" s="13" t="n">
        <v>202506</v>
      </c>
      <c r="C19" s="12" t="inlineStr">
        <is>
          <t>X</t>
        </is>
      </c>
    </row>
    <row r="20">
      <c r="A20" s="12" t="inlineStr">
        <is>
          <t>장예원</t>
        </is>
      </c>
      <c r="B20" s="13" t="n">
        <v>202506</v>
      </c>
      <c r="C20" s="12" t="inlineStr">
        <is>
          <t>X</t>
        </is>
      </c>
    </row>
    <row r="21">
      <c r="A21" s="12" t="inlineStr">
        <is>
          <t>전민아</t>
        </is>
      </c>
      <c r="B21" s="13" t="n">
        <v>202506</v>
      </c>
      <c r="C21" s="12" t="inlineStr">
        <is>
          <t>X</t>
        </is>
      </c>
    </row>
    <row r="22">
      <c r="A22" s="10" t="inlineStr">
        <is>
          <t>고경민</t>
        </is>
      </c>
      <c r="B22" s="11" t="n">
        <v>202507</v>
      </c>
      <c r="C22" s="10" t="inlineStr">
        <is>
          <t>O</t>
        </is>
      </c>
    </row>
    <row r="23">
      <c r="A23" s="10" t="inlineStr">
        <is>
          <t>김채현</t>
        </is>
      </c>
      <c r="B23" s="11" t="n">
        <v>202507</v>
      </c>
      <c r="C23" s="10" t="inlineStr">
        <is>
          <t>O</t>
        </is>
      </c>
    </row>
    <row r="24">
      <c r="A24" s="10" t="inlineStr">
        <is>
          <t>전민아</t>
        </is>
      </c>
      <c r="B24" s="11" t="n">
        <v>202507</v>
      </c>
      <c r="C24" s="10" t="inlineStr">
        <is>
          <t>O</t>
        </is>
      </c>
    </row>
    <row r="25">
      <c r="A25" s="10" t="inlineStr">
        <is>
          <t>고경민</t>
        </is>
      </c>
      <c r="B25" s="11" t="n">
        <v>202508</v>
      </c>
      <c r="C25" s="10" t="inlineStr">
        <is>
          <t>O</t>
        </is>
      </c>
    </row>
    <row r="26">
      <c r="A26" s="10" t="inlineStr">
        <is>
          <t>김채현</t>
        </is>
      </c>
      <c r="B26" s="11" t="n">
        <v>202508</v>
      </c>
      <c r="C26" s="10" t="inlineStr">
        <is>
          <t>O</t>
        </is>
      </c>
    </row>
    <row r="27">
      <c r="A27" s="10" t="inlineStr">
        <is>
          <t>전민아</t>
        </is>
      </c>
      <c r="B27" s="11" t="n">
        <v>202508</v>
      </c>
      <c r="C27" s="10" t="inlineStr">
        <is>
          <t>O</t>
        </is>
      </c>
    </row>
    <row r="28">
      <c r="A28" s="10" t="inlineStr">
        <is>
          <t>고경민</t>
        </is>
      </c>
      <c r="B28" s="11" t="n">
        <v>202509</v>
      </c>
      <c r="C28" s="10" t="inlineStr">
        <is>
          <t>O</t>
        </is>
      </c>
    </row>
    <row r="29">
      <c r="A29" s="10" t="inlineStr">
        <is>
          <t>김채현</t>
        </is>
      </c>
      <c r="B29" s="11" t="n">
        <v>202509</v>
      </c>
      <c r="C29" s="10" t="inlineStr">
        <is>
          <t>O</t>
        </is>
      </c>
    </row>
    <row r="30">
      <c r="A30" s="10" t="inlineStr">
        <is>
          <t>전민아</t>
        </is>
      </c>
      <c r="B30" s="11" t="n">
        <v>202509</v>
      </c>
      <c r="C30" s="10" t="inlineStr">
        <is>
          <t>O</t>
        </is>
      </c>
    </row>
    <row r="31">
      <c r="A31" s="10" t="inlineStr">
        <is>
          <t>고경민</t>
        </is>
      </c>
      <c r="B31" s="11" t="n">
        <v>202510</v>
      </c>
      <c r="C31" s="10" t="inlineStr">
        <is>
          <t>O</t>
        </is>
      </c>
    </row>
    <row r="32">
      <c r="A32" s="10" t="inlineStr">
        <is>
          <t>이진화</t>
        </is>
      </c>
      <c r="B32" s="11" t="n">
        <v>202510</v>
      </c>
      <c r="C32" s="10" t="inlineStr">
        <is>
          <t>O</t>
        </is>
      </c>
    </row>
    <row r="33">
      <c r="A33" s="10" t="inlineStr">
        <is>
          <t>전민아</t>
        </is>
      </c>
      <c r="B33" s="11" t="n">
        <v>202510</v>
      </c>
      <c r="C33" s="10" t="inlineStr">
        <is>
          <t>O</t>
        </is>
      </c>
    </row>
    <row r="34">
      <c r="A34" s="12" t="inlineStr">
        <is>
          <t>고경민</t>
        </is>
      </c>
      <c r="B34" s="13" t="n">
        <v>202511</v>
      </c>
      <c r="C34" s="12" t="inlineStr">
        <is>
          <t>X</t>
        </is>
      </c>
    </row>
    <row r="35">
      <c r="A35" s="12" t="inlineStr">
        <is>
          <t>이진화</t>
        </is>
      </c>
      <c r="B35" s="13" t="n">
        <v>202511</v>
      </c>
      <c r="C35" s="12" t="inlineStr">
        <is>
          <t>X</t>
        </is>
      </c>
    </row>
    <row r="36">
      <c r="A36" s="12" t="inlineStr">
        <is>
          <t>전민아</t>
        </is>
      </c>
      <c r="B36" s="13" t="n">
        <v>202511</v>
      </c>
      <c r="C36" s="12" t="inlineStr">
        <is>
          <t>X</t>
        </is>
      </c>
    </row>
  </sheetData>
  <autoFilter ref="A1:C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4" t="n">
        <v>202502</v>
      </c>
      <c r="C1" s="15" t="inlineStr">
        <is>
          <t>← 월 선택</t>
        </is>
      </c>
      <c r="J1" s="16">
        <f>DATE(INT(B1/100),MOD(B1,100),1)</f>
        <v/>
      </c>
    </row>
    <row r="2">
      <c r="J2" s="16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IF(B4="","",IF(SUMPRODUCT(('근무 기록'!B$2:B$500='직원 마스터'!A2)*('근무 기록'!A$2:A$500&gt;=J$1)*('근무 기록'!A$2:A$500&lt;=J$2)*('근무 기록'!F$2:F$500))&gt;0,SUMPRODUCT(('근무 기록'!B$2:B$500='직원 마스터'!A2)*('근무 기록'!A$2:A$500&gt;=J$1)*('근무 기록'!A$2:A$500&lt;=J$2)*('근무 기록'!F$2:F$500)),IF(C4="월급",'직원 마스터'!C2,0)))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7">
        <f>IF(B4="","",IFERROR(INDEX('지급 이력'!C$2:C$86,MATCH(1,('지급 이력'!A$2:A$86=B4)*('지급 이력'!B$2:B$86=$B$1),0)),"X"))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IF(B5="","",IF(SUMPRODUCT(('근무 기록'!B$2:B$500='직원 마스터'!A3)*('근무 기록'!A$2:A$500&gt;=J$1)*('근무 기록'!A$2:A$500&lt;=J$2)*('근무 기록'!F$2:F$500))&gt;0,SUMPRODUCT(('근무 기록'!B$2:B$500='직원 마스터'!A3)*('근무 기록'!A$2:A$500&gt;=J$1)*('근무 기록'!A$2:A$500&lt;=J$2)*('근무 기록'!F$2:F$500)),IF(C5="월급",'직원 마스터'!C3,0)))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7">
        <f>IF(B5="","",IFERROR(INDEX('지급 이력'!C$2:C$86,MATCH(1,('지급 이력'!A$2:A$86=B5)*('지급 이력'!B$2:B$86=$B$1),0)),"X"))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IF(B6="","",IF(SUMPRODUCT(('근무 기록'!B$2:B$500='직원 마스터'!A4)*('근무 기록'!A$2:A$500&gt;=J$1)*('근무 기록'!A$2:A$500&lt;=J$2)*('근무 기록'!F$2:F$500))&gt;0,SUMPRODUCT(('근무 기록'!B$2:B$500='직원 마스터'!A4)*('근무 기록'!A$2:A$500&gt;=J$1)*('근무 기록'!A$2:A$500&lt;=J$2)*('근무 기록'!F$2:F$500)),IF(C6="월급",'직원 마스터'!C4,0)))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7">
        <f>IF(B6="","",IFERROR(INDEX('지급 이력'!C$2:C$86,MATCH(1,('지급 이력'!A$2:A$86=B6)*('지급 이력'!B$2:B$86=$B$1),0)),"X"))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IF(B7="","",IF(SUMPRODUCT(('근무 기록'!B$2:B$500='직원 마스터'!A5)*('근무 기록'!A$2:A$500&gt;=J$1)*('근무 기록'!A$2:A$500&lt;=J$2)*('근무 기록'!F$2:F$500))&gt;0,SUMPRODUCT(('근무 기록'!B$2:B$500='직원 마스터'!A5)*('근무 기록'!A$2:A$500&gt;=J$1)*('근무 기록'!A$2:A$500&lt;=J$2)*('근무 기록'!F$2:F$500)),IF(C7="월급",'직원 마스터'!C5,0)))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7">
        <f>IF(B7="","",IFERROR(INDEX('지급 이력'!C$2:C$86,MATCH(1,('지급 이력'!A$2:A$86=B7)*('지급 이력'!B$2:B$86=$B$1),0)),"X"))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IF(B8="","",IF(SUMPRODUCT(('근무 기록'!B$2:B$500='직원 마스터'!A6)*('근무 기록'!A$2:A$500&gt;=J$1)*('근무 기록'!A$2:A$500&lt;=J$2)*('근무 기록'!F$2:F$500))&gt;0,SUMPRODUCT(('근무 기록'!B$2:B$500='직원 마스터'!A6)*('근무 기록'!A$2:A$500&gt;=J$1)*('근무 기록'!A$2:A$500&lt;=J$2)*('근무 기록'!F$2:F$500)),IF(C8="월급",'직원 마스터'!C6,0)))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7">
        <f>IF(B8="","",IFERROR(INDEX('지급 이력'!C$2:C$86,MATCH(1,('지급 이력'!A$2:A$86=B8)*('지급 이력'!B$2:B$86=$B$1),0)),"X"))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IF(B9="","",IF(SUMPRODUCT(('근무 기록'!B$2:B$500='직원 마스터'!A7)*('근무 기록'!A$2:A$500&gt;=J$1)*('근무 기록'!A$2:A$500&lt;=J$2)*('근무 기록'!F$2:F$500))&gt;0,SUMPRODUCT(('근무 기록'!B$2:B$500='직원 마스터'!A7)*('근무 기록'!A$2:A$500&gt;=J$1)*('근무 기록'!A$2:A$500&lt;=J$2)*('근무 기록'!F$2:F$500)),IF(C9="월급",'직원 마스터'!C7,0)))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7">
        <f>IF(B9="","",IFERROR(INDEX('지급 이력'!C$2:C$86,MATCH(1,('지급 이력'!A$2:A$86=B9)*('지급 이력'!B$2:B$86=$B$1),0)),"X"))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IF(B10="","",IF(SUMPRODUCT(('근무 기록'!B$2:B$500='직원 마스터'!A8)*('근무 기록'!A$2:A$500&gt;=J$1)*('근무 기록'!A$2:A$500&lt;=J$2)*('근무 기록'!F$2:F$500))&gt;0,SUMPRODUCT(('근무 기록'!B$2:B$500='직원 마스터'!A8)*('근무 기록'!A$2:A$500&gt;=J$1)*('근무 기록'!A$2:A$500&lt;=J$2)*('근무 기록'!F$2:F$500)),IF(C10="월급",'직원 마스터'!C8,0)))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7">
        <f>IF(B10="","",IFERROR(INDEX('지급 이력'!C$2:C$86,MATCH(1,('지급 이력'!A$2:A$86=B10)*('지급 이력'!B$2:B$86=$B$1),0)),"X"))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IF(B11="","",IF(SUMPRODUCT(('근무 기록'!B$2:B$500='직원 마스터'!A9)*('근무 기록'!A$2:A$500&gt;=J$1)*('근무 기록'!A$2:A$500&lt;=J$2)*('근무 기록'!F$2:F$500))&gt;0,SUMPRODUCT(('근무 기록'!B$2:B$500='직원 마스터'!A9)*('근무 기록'!A$2:A$500&gt;=J$1)*('근무 기록'!A$2:A$500&lt;=J$2)*('근무 기록'!F$2:F$500)),IF(C11="월급",'직원 마스터'!C9,0)))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7">
        <f>IF(B11="","",IFERROR(INDEX('지급 이력'!C$2:C$86,MATCH(1,('지급 이력'!A$2:A$86=B11)*('지급 이력'!B$2:B$86=$B$1),0)),"X"))</f>
        <v/>
      </c>
    </row>
    <row r="13">
      <c r="B13" s="18" t="inlineStr">
        <is>
          <t>합계</t>
        </is>
      </c>
      <c r="E13" s="19">
        <f>SUM(E4:E11)</f>
        <v/>
      </c>
      <c r="F13" s="19">
        <f>SUM(F4:F11)</f>
        <v/>
      </c>
      <c r="G13" s="19">
        <f>SUM(G4:G11)</f>
        <v/>
      </c>
    </row>
    <row r="14">
      <c r="B14" s="20" t="inlineStr">
        <is>
          <t>당월 총 인건비</t>
        </is>
      </c>
      <c r="E14" s="21">
        <f>E13</f>
        <v/>
      </c>
    </row>
  </sheetData>
  <mergeCells count="1">
    <mergeCell ref="B14:D14"/>
  </mergeCells>
  <conditionalFormatting sqref="I4:I11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1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2026-04-19T13:08:10Z</dcterms:created>
  <dcterms:modified xmlns:dcterms="http://purl.org/dc/terms/" xmlns:xsi="http://www.w3.org/2001/XMLSchema-instance" xsi:type="dcterms:W3CDTF">2026-04-19T13:08:10Z</dcterms:modified>
</cp:coreProperties>
</file>