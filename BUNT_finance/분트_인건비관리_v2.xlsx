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 마스터" sheetId="1" state="visible" r:id="rId1"/>
    <sheet xmlns:r="http://schemas.openxmlformats.org/officeDocument/2006/relationships" name="근무 기록" sheetId="2" state="visible" r:id="rId2"/>
    <sheet xmlns:r="http://schemas.openxmlformats.org/officeDocument/2006/relationships" name="지급 이력" sheetId="3" state="visible" r:id="rId3"/>
    <sheet xmlns:r="http://schemas.openxmlformats.org/officeDocument/2006/relationships" name="급여 요약" sheetId="4" state="visible" r:id="rId4"/>
  </sheets>
  <definedNames>
    <definedName name="_xlnm._FilterDatabase" localSheetId="1" hidden="1">'근무 기록'!$A$1:$H$288</definedName>
    <definedName name="_xlnm._FilterDatabase" localSheetId="2" hidden="1">'지급 이력'!$A$1:$D$42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H:MM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color rgb="00888888"/>
    </font>
    <font>
      <b val="1"/>
      <sz val="11"/>
    </font>
    <font>
      <b val="1"/>
    </font>
    <font>
      <b val="1"/>
      <color rgb="001F4E79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5" fillId="0" borderId="1" pivotButton="0" quotePrefix="0" xfId="0"/>
    <xf numFmtId="0" fontId="6" fillId="0" borderId="0" applyAlignment="1" pivotButton="0" quotePrefix="0" xfId="0">
      <alignment horizontal="right"/>
    </xf>
    <xf numFmtId="3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5" customHeight="1">
      <c r="A1" s="1" t="inlineStr">
        <is>
          <t>이름</t>
        </is>
      </c>
      <c r="B1" s="1" t="inlineStr">
        <is>
          <t>급여유형</t>
        </is>
      </c>
      <c r="C1" s="1" t="inlineStr">
        <is>
          <t>금액</t>
        </is>
      </c>
      <c r="D1" s="1" t="inlineStr">
        <is>
          <t>입금계좌</t>
        </is>
      </c>
      <c r="E1" s="1" t="inlineStr">
        <is>
          <t>재직상태</t>
        </is>
      </c>
      <c r="F1" s="1" t="inlineStr">
        <is>
          <t>적용시작월</t>
        </is>
      </c>
      <c r="G1" s="1" t="inlineStr">
        <is>
          <t>적용종료월</t>
        </is>
      </c>
      <c r="H1" s="1" t="inlineStr">
        <is>
          <t>비고</t>
        </is>
      </c>
    </row>
    <row r="2">
      <c r="A2" s="2" t="inlineStr">
        <is>
          <t>고경민</t>
        </is>
      </c>
      <c r="B2" s="2" t="inlineStr">
        <is>
          <t>월급</t>
        </is>
      </c>
      <c r="C2" s="3" t="n">
        <v>1200000</v>
      </c>
      <c r="D2" s="2" t="inlineStr">
        <is>
          <t>국민은행 82240104164295</t>
        </is>
      </c>
      <c r="E2" s="2" t="inlineStr">
        <is>
          <t>재직</t>
        </is>
      </c>
      <c r="F2" s="4" t="n">
        <v>202501</v>
      </c>
      <c r="G2" s="4" t="n">
        <v>202502</v>
      </c>
      <c r="H2" s="2" t="n"/>
    </row>
    <row r="3">
      <c r="A3" s="2" t="inlineStr">
        <is>
          <t>고경민</t>
        </is>
      </c>
      <c r="B3" s="2" t="inlineStr">
        <is>
          <t>시급</t>
        </is>
      </c>
      <c r="C3" s="3" t="n">
        <v>12000</v>
      </c>
      <c r="D3" s="2" t="inlineStr">
        <is>
          <t>국민은행 82240104164295</t>
        </is>
      </c>
      <c r="E3" s="2" t="inlineStr">
        <is>
          <t>재직</t>
        </is>
      </c>
      <c r="F3" s="4" t="n">
        <v>202503</v>
      </c>
      <c r="G3" s="4" t="n">
        <v>202509</v>
      </c>
      <c r="H3" s="2" t="n"/>
    </row>
    <row r="4">
      <c r="A4" s="2" t="inlineStr">
        <is>
          <t>고경민</t>
        </is>
      </c>
      <c r="B4" s="2" t="inlineStr">
        <is>
          <t>월급</t>
        </is>
      </c>
      <c r="C4" s="3" t="n">
        <v>1300000</v>
      </c>
      <c r="D4" s="2" t="inlineStr">
        <is>
          <t>국민은행 82240104164295</t>
        </is>
      </c>
      <c r="E4" s="2" t="inlineStr">
        <is>
          <t>재직</t>
        </is>
      </c>
      <c r="F4" s="4" t="n">
        <v>202510</v>
      </c>
      <c r="G4" s="4" t="n"/>
      <c r="H4" s="2" t="n"/>
    </row>
    <row r="5">
      <c r="A5" s="2" t="inlineStr">
        <is>
          <t>장예원</t>
        </is>
      </c>
      <c r="B5" s="2" t="inlineStr">
        <is>
          <t>시급</t>
        </is>
      </c>
      <c r="C5" s="3" t="n">
        <v>12000</v>
      </c>
      <c r="D5" s="2" t="inlineStr">
        <is>
          <t>카카오뱅크 3333-07-7072641</t>
        </is>
      </c>
      <c r="E5" s="2" t="inlineStr">
        <is>
          <t>퇴직</t>
        </is>
      </c>
      <c r="F5" s="4" t="n">
        <v>202502</v>
      </c>
      <c r="G5" s="4" t="n">
        <v>202507</v>
      </c>
      <c r="H5" s="2" t="n"/>
    </row>
    <row r="6">
      <c r="A6" s="2" t="inlineStr">
        <is>
          <t>유은비</t>
        </is>
      </c>
      <c r="B6" s="2" t="inlineStr">
        <is>
          <t>시급</t>
        </is>
      </c>
      <c r="C6" s="3" t="n">
        <v>12000</v>
      </c>
      <c r="D6" s="2" t="inlineStr">
        <is>
          <t>우리 1002-533-898534</t>
        </is>
      </c>
      <c r="E6" s="2" t="inlineStr">
        <is>
          <t>퇴직</t>
        </is>
      </c>
      <c r="F6" s="4" t="n">
        <v>202502</v>
      </c>
      <c r="G6" s="4" t="n">
        <v>202503</v>
      </c>
      <c r="H6" s="2" t="n"/>
    </row>
    <row r="7">
      <c r="A7" s="2" t="inlineStr">
        <is>
          <t>전민아</t>
        </is>
      </c>
      <c r="B7" s="2" t="inlineStr">
        <is>
          <t>월급</t>
        </is>
      </c>
      <c r="C7" s="3" t="n">
        <v>600000</v>
      </c>
      <c r="D7" s="2" t="inlineStr">
        <is>
          <t>하나은행 558-910330-30707</t>
        </is>
      </c>
      <c r="E7" s="2" t="inlineStr">
        <is>
          <t>재직</t>
        </is>
      </c>
      <c r="F7" s="4" t="n">
        <v>202502</v>
      </c>
      <c r="G7" s="4" t="n">
        <v>202502</v>
      </c>
      <c r="H7" s="2" t="n"/>
    </row>
    <row r="8">
      <c r="A8" s="2" t="inlineStr">
        <is>
          <t>전민아</t>
        </is>
      </c>
      <c r="B8" s="2" t="inlineStr">
        <is>
          <t>월급</t>
        </is>
      </c>
      <c r="C8" s="3" t="n">
        <v>1800000</v>
      </c>
      <c r="D8" s="2" t="inlineStr">
        <is>
          <t>하나은행 558-910330-30707</t>
        </is>
      </c>
      <c r="E8" s="2" t="inlineStr">
        <is>
          <t>재직</t>
        </is>
      </c>
      <c r="F8" s="4" t="n">
        <v>202503</v>
      </c>
      <c r="G8" s="4" t="n">
        <v>202509</v>
      </c>
      <c r="H8" s="2" t="n"/>
    </row>
    <row r="9">
      <c r="A9" s="2" t="inlineStr">
        <is>
          <t>전민아</t>
        </is>
      </c>
      <c r="B9" s="2" t="inlineStr">
        <is>
          <t>월급</t>
        </is>
      </c>
      <c r="C9" s="3" t="n">
        <v>1848000</v>
      </c>
      <c r="D9" s="2" t="inlineStr">
        <is>
          <t>하나은행 558-910330-30707</t>
        </is>
      </c>
      <c r="E9" s="2" t="inlineStr">
        <is>
          <t>재직</t>
        </is>
      </c>
      <c r="F9" s="4" t="n">
        <v>202510</v>
      </c>
      <c r="G9" s="4" t="n"/>
      <c r="H9" s="2" t="n"/>
    </row>
    <row r="10">
      <c r="A10" s="2" t="inlineStr">
        <is>
          <t>김채현</t>
        </is>
      </c>
      <c r="B10" s="2" t="inlineStr">
        <is>
          <t>시급</t>
        </is>
      </c>
      <c r="C10" s="3" t="n">
        <v>12000</v>
      </c>
      <c r="D10" s="2" t="inlineStr">
        <is>
          <t>우리은행 1002-351-542250</t>
        </is>
      </c>
      <c r="E10" s="2" t="inlineStr">
        <is>
          <t>퇴직</t>
        </is>
      </c>
      <c r="F10" s="4" t="n">
        <v>202507</v>
      </c>
      <c r="G10" s="4" t="n">
        <v>202510</v>
      </c>
      <c r="H10" s="2" t="n"/>
    </row>
    <row r="11">
      <c r="A11" s="2" t="inlineStr">
        <is>
          <t>이진화</t>
        </is>
      </c>
      <c r="B11" s="2" t="inlineStr">
        <is>
          <t>시급</t>
        </is>
      </c>
      <c r="C11" s="3" t="n">
        <v>12000</v>
      </c>
      <c r="D11" s="2" t="inlineStr">
        <is>
          <t>우리은행 1002-166-678383</t>
        </is>
      </c>
      <c r="E11" s="2" t="inlineStr">
        <is>
          <t>재직</t>
        </is>
      </c>
      <c r="F11" s="4" t="n">
        <v>202511</v>
      </c>
      <c r="G11" s="4" t="n"/>
      <c r="H11" s="2" t="n"/>
    </row>
  </sheetData>
  <dataValidations count="2">
    <dataValidation sqref="B2:B30" showDropDown="0" showInputMessage="0" showErrorMessage="0" allowBlank="1" error="월급 또는 시급만 입력 가능합니다" type="list">
      <formula1>"월급,시급"</formula1>
    </dataValidation>
    <dataValidation sqref="E2:E30" showDropDown="0" showInputMessage="0" showErrorMessage="0" allowBlank="1" type="list">
      <formula1>"재직,퇴직"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20" customWidth="1" min="8" max="8"/>
  </cols>
  <sheetData>
    <row r="1" ht="25" customHeight="1">
      <c r="A1" s="1" t="inlineStr">
        <is>
          <t>날짜</t>
        </is>
      </c>
      <c r="B1" s="1" t="inlineStr">
        <is>
          <t>근무자</t>
        </is>
      </c>
      <c r="C1" s="1" t="inlineStr">
        <is>
          <t>시작시간</t>
        </is>
      </c>
      <c r="D1" s="1" t="inlineStr">
        <is>
          <t>종료시간</t>
        </is>
      </c>
      <c r="E1" s="1" t="inlineStr">
        <is>
          <t>근무시간</t>
        </is>
      </c>
      <c r="F1" s="1" t="inlineStr">
        <is>
          <t>일 급여</t>
        </is>
      </c>
      <c r="G1" s="1" t="inlineStr">
        <is>
          <t>급여유형</t>
        </is>
      </c>
      <c r="H1" s="1" t="inlineStr">
        <is>
          <t>비고</t>
        </is>
      </c>
    </row>
    <row r="2">
      <c r="A2" s="5" t="n">
        <v>45688</v>
      </c>
      <c r="B2" s="2" t="inlineStr">
        <is>
          <t>장예원</t>
        </is>
      </c>
      <c r="C2" s="6" t="n">
        <v>0.5416666666666666</v>
      </c>
      <c r="D2" s="6" t="n">
        <v>0.7916666666666666</v>
      </c>
      <c r="E2" s="7">
        <f>IF(AND(C2&lt;&gt;"",D2&lt;&gt;""),D2-C2,0)</f>
        <v/>
      </c>
      <c r="F2" s="3" t="n">
        <v>72000</v>
      </c>
      <c r="G2" s="8">
        <f>IFERROR(IF(B2&lt;&gt;"",INDEX('직원 마스터'!B$2:B$31,MATCH(1,('직원 마스터'!A$2:A$31=B2)*('직원 마스터'!F$2:F$31&lt;=(YEAR(A2)*100+MONTH(A2)))*(('직원 마스터'!G$2:G$31="")+('직원 마스터'!G$2:G$31&gt;=(YEAR(A2)*100+MONTH(A2)))),0)),""),"")</f>
        <v/>
      </c>
      <c r="H2" s="2" t="n"/>
    </row>
    <row r="3">
      <c r="A3" s="5" t="n">
        <v>45689</v>
      </c>
      <c r="B3" s="2" t="inlineStr">
        <is>
          <t>장예원</t>
        </is>
      </c>
      <c r="C3" s="6" t="n">
        <v>0.4375</v>
      </c>
      <c r="D3" s="6" t="n">
        <v>0.6041666666666666</v>
      </c>
      <c r="E3" s="7">
        <f>IF(AND(C3&lt;&gt;"",D3&lt;&gt;""),D3-C3,0)</f>
        <v/>
      </c>
      <c r="F3" s="3" t="n">
        <v>48000</v>
      </c>
      <c r="G3" s="8">
        <f>IFERROR(IF(B3&lt;&gt;"",INDEX('직원 마스터'!B$2:B$31,MATCH(1,('직원 마스터'!A$2:A$31=B3)*('직원 마스터'!F$2:F$31&lt;=(YEAR(A3)*100+MONTH(A3)))*(('직원 마스터'!G$2:G$31="")+('직원 마스터'!G$2:G$31&gt;=(YEAR(A3)*100+MONTH(A3)))),0)),""),"")</f>
        <v/>
      </c>
      <c r="H3" s="2" t="n"/>
    </row>
    <row r="4">
      <c r="A4" s="5" t="n">
        <v>45691</v>
      </c>
      <c r="B4" s="2" t="inlineStr">
        <is>
          <t>유은비</t>
        </is>
      </c>
      <c r="C4" s="6" t="n">
        <v>0.6041666666666666</v>
      </c>
      <c r="D4" s="6" t="n">
        <v>0.7708333333333334</v>
      </c>
      <c r="E4" s="7">
        <f>IF(AND(C4&lt;&gt;"",D4&lt;&gt;""),D4-C4,0)</f>
        <v/>
      </c>
      <c r="F4" s="3" t="n">
        <v>48000</v>
      </c>
      <c r="G4" s="8">
        <f>IFERROR(IF(B4&lt;&gt;"",INDEX('직원 마스터'!B$2:B$31,MATCH(1,('직원 마스터'!A$2:A$31=B4)*('직원 마스터'!F$2:F$31&lt;=(YEAR(A4)*100+MONTH(A4)))*(('직원 마스터'!G$2:G$31="")+('직원 마스터'!G$2:G$31&gt;=(YEAR(A4)*100+MONTH(A4)))),0)),""),"")</f>
        <v/>
      </c>
      <c r="H4" s="2" t="n"/>
    </row>
    <row r="5">
      <c r="A5" s="5" t="n">
        <v>45692</v>
      </c>
      <c r="B5" s="2" t="inlineStr">
        <is>
          <t>유은비</t>
        </is>
      </c>
      <c r="C5" s="6" t="n">
        <v>0.6041666666666666</v>
      </c>
      <c r="D5" s="6" t="n">
        <v>0.7708333333333334</v>
      </c>
      <c r="E5" s="7">
        <f>IF(AND(C5&lt;&gt;"",D5&lt;&gt;""),D5-C5,0)</f>
        <v/>
      </c>
      <c r="F5" s="3" t="n">
        <v>48000</v>
      </c>
      <c r="G5" s="8">
        <f>IFERROR(IF(B5&lt;&gt;"",INDEX('직원 마스터'!B$2:B$31,MATCH(1,('직원 마스터'!A$2:A$31=B5)*('직원 마스터'!F$2:F$31&lt;=(YEAR(A5)*100+MONTH(A5)))*(('직원 마스터'!G$2:G$31="")+('직원 마스터'!G$2:G$31&gt;=(YEAR(A5)*100+MONTH(A5)))),0)),""),"")</f>
        <v/>
      </c>
      <c r="H5" s="2" t="n"/>
    </row>
    <row r="6">
      <c r="A6" s="5" t="n">
        <v>45693</v>
      </c>
      <c r="B6" s="2" t="inlineStr">
        <is>
          <t>유은비</t>
        </is>
      </c>
      <c r="C6" s="6" t="n">
        <v>0.6041666666666666</v>
      </c>
      <c r="D6" s="6" t="n">
        <v>0.7708333333333334</v>
      </c>
      <c r="E6" s="7">
        <f>IF(AND(C6&lt;&gt;"",D6&lt;&gt;""),D6-C6,0)</f>
        <v/>
      </c>
      <c r="F6" s="3" t="n">
        <v>48000</v>
      </c>
      <c r="G6" s="8">
        <f>IFERROR(IF(B6&lt;&gt;"",INDEX('직원 마스터'!B$2:B$31,MATCH(1,('직원 마스터'!A$2:A$31=B6)*('직원 마스터'!F$2:F$31&lt;=(YEAR(A6)*100+MONTH(A6)))*(('직원 마스터'!G$2:G$31="")+('직원 마스터'!G$2:G$31&gt;=(YEAR(A6)*100+MONTH(A6)))),0)),""),"")</f>
        <v/>
      </c>
      <c r="H6" s="2" t="n"/>
    </row>
    <row r="7">
      <c r="A7" s="5" t="n">
        <v>45694</v>
      </c>
      <c r="B7" s="2" t="inlineStr">
        <is>
          <t>장예원</t>
        </is>
      </c>
      <c r="C7" s="6" t="n">
        <v>0.6041666666666666</v>
      </c>
      <c r="D7" s="6" t="n">
        <v>0.7708333333333334</v>
      </c>
      <c r="E7" s="7">
        <f>IF(AND(C7&lt;&gt;"",D7&lt;&gt;""),D7-C7,0)</f>
        <v/>
      </c>
      <c r="F7" s="3" t="n">
        <v>48000</v>
      </c>
      <c r="G7" s="8">
        <f>IFERROR(IF(B7&lt;&gt;"",INDEX('직원 마스터'!B$2:B$31,MATCH(1,('직원 마스터'!A$2:A$31=B7)*('직원 마스터'!F$2:F$31&lt;=(YEAR(A7)*100+MONTH(A7)))*(('직원 마스터'!G$2:G$31="")+('직원 마스터'!G$2:G$31&gt;=(YEAR(A7)*100+MONTH(A7)))),0)),""),"")</f>
        <v/>
      </c>
      <c r="H7" s="2" t="n"/>
    </row>
    <row r="8">
      <c r="A8" s="5" t="n">
        <v>45695</v>
      </c>
      <c r="B8" s="2" t="inlineStr">
        <is>
          <t>장예원</t>
        </is>
      </c>
      <c r="C8" s="6" t="n">
        <v>0.5416666666666666</v>
      </c>
      <c r="D8" s="6" t="n">
        <v>0.7916666666666666</v>
      </c>
      <c r="E8" s="7">
        <f>IF(AND(C8&lt;&gt;"",D8&lt;&gt;""),D8-C8,0)</f>
        <v/>
      </c>
      <c r="F8" s="3" t="n">
        <v>72000</v>
      </c>
      <c r="G8" s="8">
        <f>IFERROR(IF(B8&lt;&gt;"",INDEX('직원 마스터'!B$2:B$31,MATCH(1,('직원 마스터'!A$2:A$31=B8)*('직원 마스터'!F$2:F$31&lt;=(YEAR(A8)*100+MONTH(A8)))*(('직원 마스터'!G$2:G$31="")+('직원 마스터'!G$2:G$31&gt;=(YEAR(A8)*100+MONTH(A8)))),0)),""),"")</f>
        <v/>
      </c>
      <c r="H8" s="2" t="n"/>
    </row>
    <row r="9">
      <c r="A9" s="5" t="n">
        <v>45696</v>
      </c>
      <c r="B9" s="2" t="inlineStr">
        <is>
          <t>장예원</t>
        </is>
      </c>
      <c r="C9" s="6" t="n">
        <v>0.4375</v>
      </c>
      <c r="D9" s="6" t="n">
        <v>0.6041666666666666</v>
      </c>
      <c r="E9" s="7">
        <f>IF(AND(C9&lt;&gt;"",D9&lt;&gt;""),D9-C9,0)</f>
        <v/>
      </c>
      <c r="F9" s="3" t="n">
        <v>48000</v>
      </c>
      <c r="G9" s="8">
        <f>IFERROR(IF(B9&lt;&gt;"",INDEX('직원 마스터'!B$2:B$31,MATCH(1,('직원 마스터'!A$2:A$31=B9)*('직원 마스터'!F$2:F$31&lt;=(YEAR(A9)*100+MONTH(A9)))*(('직원 마스터'!G$2:G$31="")+('직원 마스터'!G$2:G$31&gt;=(YEAR(A9)*100+MONTH(A9)))),0)),""),"")</f>
        <v/>
      </c>
      <c r="H9" s="2" t="n"/>
    </row>
    <row r="10">
      <c r="A10" s="5" t="n">
        <v>45698</v>
      </c>
      <c r="B10" s="2" t="inlineStr">
        <is>
          <t>유은비</t>
        </is>
      </c>
      <c r="C10" s="6" t="n">
        <v>0.6041666666666666</v>
      </c>
      <c r="D10" s="6" t="n">
        <v>0.7708333333333334</v>
      </c>
      <c r="E10" s="7">
        <f>IF(AND(C10&lt;&gt;"",D10&lt;&gt;""),D10-C10,0)</f>
        <v/>
      </c>
      <c r="F10" s="3" t="n">
        <v>48000</v>
      </c>
      <c r="G10" s="8">
        <f>IFERROR(IF(B10&lt;&gt;"",INDEX('직원 마스터'!B$2:B$31,MATCH(1,('직원 마스터'!A$2:A$31=B10)*('직원 마스터'!F$2:F$31&lt;=(YEAR(A10)*100+MONTH(A10)))*(('직원 마스터'!G$2:G$31="")+('직원 마스터'!G$2:G$31&gt;=(YEAR(A10)*100+MONTH(A10)))),0)),""),"")</f>
        <v/>
      </c>
      <c r="H10" s="2" t="n"/>
    </row>
    <row r="11">
      <c r="A11" s="5" t="n">
        <v>45699</v>
      </c>
      <c r="B11" s="2" t="inlineStr">
        <is>
          <t>유은비</t>
        </is>
      </c>
      <c r="C11" s="6" t="n">
        <v>0.6041666666666666</v>
      </c>
      <c r="D11" s="6" t="n">
        <v>0.7708333333333334</v>
      </c>
      <c r="E11" s="7">
        <f>IF(AND(C11&lt;&gt;"",D11&lt;&gt;""),D11-C11,0)</f>
        <v/>
      </c>
      <c r="F11" s="3" t="n">
        <v>48000</v>
      </c>
      <c r="G11" s="8">
        <f>IFERROR(IF(B11&lt;&gt;"",INDEX('직원 마스터'!B$2:B$31,MATCH(1,('직원 마스터'!A$2:A$31=B11)*('직원 마스터'!F$2:F$31&lt;=(YEAR(A11)*100+MONTH(A11)))*(('직원 마스터'!G$2:G$31="")+('직원 마스터'!G$2:G$31&gt;=(YEAR(A11)*100+MONTH(A11)))),0)),""),"")</f>
        <v/>
      </c>
      <c r="H11" s="2" t="n"/>
    </row>
    <row r="12">
      <c r="A12" s="5" t="n">
        <v>45700</v>
      </c>
      <c r="B12" s="2" t="inlineStr">
        <is>
          <t>유은비</t>
        </is>
      </c>
      <c r="C12" s="6" t="n">
        <v>0.6041666666666666</v>
      </c>
      <c r="D12" s="6" t="n">
        <v>0.7708333333333334</v>
      </c>
      <c r="E12" s="7">
        <f>IF(AND(C12&lt;&gt;"",D12&lt;&gt;""),D12-C12,0)</f>
        <v/>
      </c>
      <c r="F12" s="3" t="n">
        <v>48000</v>
      </c>
      <c r="G12" s="8">
        <f>IFERROR(IF(B12&lt;&gt;"",INDEX('직원 마스터'!B$2:B$31,MATCH(1,('직원 마스터'!A$2:A$31=B12)*('직원 마스터'!F$2:F$31&lt;=(YEAR(A12)*100+MONTH(A12)))*(('직원 마스터'!G$2:G$31="")+('직원 마스터'!G$2:G$31&gt;=(YEAR(A12)*100+MONTH(A12)))),0)),""),"")</f>
        <v/>
      </c>
      <c r="H12" s="2" t="n"/>
    </row>
    <row r="13">
      <c r="A13" s="5" t="n">
        <v>45701</v>
      </c>
      <c r="B13" s="2" t="inlineStr">
        <is>
          <t>장예원</t>
        </is>
      </c>
      <c r="C13" s="6" t="n">
        <v>0.6041666666666666</v>
      </c>
      <c r="D13" s="6" t="n">
        <v>0.7708333333333334</v>
      </c>
      <c r="E13" s="7">
        <f>IF(AND(C13&lt;&gt;"",D13&lt;&gt;""),D13-C13,0)</f>
        <v/>
      </c>
      <c r="F13" s="3" t="n">
        <v>48000</v>
      </c>
      <c r="G13" s="8">
        <f>IFERROR(IF(B13&lt;&gt;"",INDEX('직원 마스터'!B$2:B$31,MATCH(1,('직원 마스터'!A$2:A$31=B13)*('직원 마스터'!F$2:F$31&lt;=(YEAR(A13)*100+MONTH(A13)))*(('직원 마스터'!G$2:G$31="")+('직원 마스터'!G$2:G$31&gt;=(YEAR(A13)*100+MONTH(A13)))),0)),""),"")</f>
        <v/>
      </c>
      <c r="H13" s="2" t="n"/>
    </row>
    <row r="14">
      <c r="A14" s="5" t="n">
        <v>45702</v>
      </c>
      <c r="B14" s="2" t="inlineStr">
        <is>
          <t>장예원</t>
        </is>
      </c>
      <c r="C14" s="6" t="n">
        <v>0.5416666666666666</v>
      </c>
      <c r="D14" s="6" t="n">
        <v>0.7916666666666666</v>
      </c>
      <c r="E14" s="7">
        <f>IF(AND(C14&lt;&gt;"",D14&lt;&gt;""),D14-C14,0)</f>
        <v/>
      </c>
      <c r="F14" s="3" t="n">
        <v>72000</v>
      </c>
      <c r="G14" s="8">
        <f>IFERROR(IF(B14&lt;&gt;"",INDEX('직원 마스터'!B$2:B$31,MATCH(1,('직원 마스터'!A$2:A$31=B14)*('직원 마스터'!F$2:F$31&lt;=(YEAR(A14)*100+MONTH(A14)))*(('직원 마스터'!G$2:G$31="")+('직원 마스터'!G$2:G$31&gt;=(YEAR(A14)*100+MONTH(A14)))),0)),""),"")</f>
        <v/>
      </c>
      <c r="H14" s="2" t="n"/>
    </row>
    <row r="15">
      <c r="A15" s="5" t="n">
        <v>45703</v>
      </c>
      <c r="B15" s="2" t="inlineStr">
        <is>
          <t>장예원</t>
        </is>
      </c>
      <c r="C15" s="6" t="n">
        <v>0.4375</v>
      </c>
      <c r="D15" s="6" t="n">
        <v>0.6041666666666666</v>
      </c>
      <c r="E15" s="7">
        <f>IF(AND(C15&lt;&gt;"",D15&lt;&gt;""),D15-C15,0)</f>
        <v/>
      </c>
      <c r="F15" s="3" t="n">
        <v>48000</v>
      </c>
      <c r="G15" s="8">
        <f>IFERROR(IF(B15&lt;&gt;"",INDEX('직원 마스터'!B$2:B$31,MATCH(1,('직원 마스터'!A$2:A$31=B15)*('직원 마스터'!F$2:F$31&lt;=(YEAR(A15)*100+MONTH(A15)))*(('직원 마스터'!G$2:G$31="")+('직원 마스터'!G$2:G$31&gt;=(YEAR(A15)*100+MONTH(A15)))),0)),""),"")</f>
        <v/>
      </c>
      <c r="H15" s="2" t="n"/>
    </row>
    <row r="16">
      <c r="A16" s="5" t="n">
        <v>45705</v>
      </c>
      <c r="B16" s="2" t="inlineStr">
        <is>
          <t>유은비</t>
        </is>
      </c>
      <c r="C16" s="6" t="n">
        <v>0.6041666666666666</v>
      </c>
      <c r="D16" s="6" t="n">
        <v>0.7708333333333334</v>
      </c>
      <c r="E16" s="7">
        <f>IF(AND(C16&lt;&gt;"",D16&lt;&gt;""),D16-C16,0)</f>
        <v/>
      </c>
      <c r="F16" s="3" t="n">
        <v>48000</v>
      </c>
      <c r="G16" s="8">
        <f>IFERROR(IF(B16&lt;&gt;"",INDEX('직원 마스터'!B$2:B$31,MATCH(1,('직원 마스터'!A$2:A$31=B16)*('직원 마스터'!F$2:F$31&lt;=(YEAR(A16)*100+MONTH(A16)))*(('직원 마스터'!G$2:G$31="")+('직원 마스터'!G$2:G$31&gt;=(YEAR(A16)*100+MONTH(A16)))),0)),""),"")</f>
        <v/>
      </c>
      <c r="H16" s="2" t="n"/>
    </row>
    <row r="17">
      <c r="A17" s="5" t="n">
        <v>45706</v>
      </c>
      <c r="B17" s="2" t="inlineStr">
        <is>
          <t>유은비</t>
        </is>
      </c>
      <c r="C17" s="6" t="n">
        <v>0.6041666666666666</v>
      </c>
      <c r="D17" s="6" t="n">
        <v>0.7708333333333334</v>
      </c>
      <c r="E17" s="7">
        <f>IF(AND(C17&lt;&gt;"",D17&lt;&gt;""),D17-C17,0)</f>
        <v/>
      </c>
      <c r="F17" s="3" t="n">
        <v>48000</v>
      </c>
      <c r="G17" s="8">
        <f>IFERROR(IF(B17&lt;&gt;"",INDEX('직원 마스터'!B$2:B$31,MATCH(1,('직원 마스터'!A$2:A$31=B17)*('직원 마스터'!F$2:F$31&lt;=(YEAR(A17)*100+MONTH(A17)))*(('직원 마스터'!G$2:G$31="")+('직원 마스터'!G$2:G$31&gt;=(YEAR(A17)*100+MONTH(A17)))),0)),""),"")</f>
        <v/>
      </c>
      <c r="H17" s="2" t="n"/>
    </row>
    <row r="18">
      <c r="A18" s="5" t="n">
        <v>45707</v>
      </c>
      <c r="B18" s="2" t="inlineStr">
        <is>
          <t>유은비</t>
        </is>
      </c>
      <c r="C18" s="6" t="n">
        <v>0.6041666666666666</v>
      </c>
      <c r="D18" s="6" t="n">
        <v>0.7708333333333334</v>
      </c>
      <c r="E18" s="7">
        <f>IF(AND(C18&lt;&gt;"",D18&lt;&gt;""),D18-C18,0)</f>
        <v/>
      </c>
      <c r="F18" s="3" t="n">
        <v>48000</v>
      </c>
      <c r="G18" s="8">
        <f>IFERROR(IF(B18&lt;&gt;"",INDEX('직원 마스터'!B$2:B$31,MATCH(1,('직원 마스터'!A$2:A$31=B18)*('직원 마스터'!F$2:F$31&lt;=(YEAR(A18)*100+MONTH(A18)))*(('직원 마스터'!G$2:G$31="")+('직원 마스터'!G$2:G$31&gt;=(YEAR(A18)*100+MONTH(A18)))),0)),""),"")</f>
        <v/>
      </c>
      <c r="H18" s="2" t="n"/>
    </row>
    <row r="19">
      <c r="A19" s="5" t="n">
        <v>45708</v>
      </c>
      <c r="B19" s="2" t="inlineStr">
        <is>
          <t>장예원</t>
        </is>
      </c>
      <c r="C19" s="6" t="n">
        <v>0.6041666666666666</v>
      </c>
      <c r="D19" s="6" t="n">
        <v>0.7916666666666666</v>
      </c>
      <c r="E19" s="7">
        <f>IF(AND(C19&lt;&gt;"",D19&lt;&gt;""),D19-C19,0)</f>
        <v/>
      </c>
      <c r="F19" s="3" t="n">
        <v>54000</v>
      </c>
      <c r="G19" s="8">
        <f>IFERROR(IF(B19&lt;&gt;"",INDEX('직원 마스터'!B$2:B$31,MATCH(1,('직원 마스터'!A$2:A$31=B19)*('직원 마스터'!F$2:F$31&lt;=(YEAR(A19)*100+MONTH(A19)))*(('직원 마스터'!G$2:G$31="")+('직원 마스터'!G$2:G$31&gt;=(YEAR(A19)*100+MONTH(A19)))),0)),""),"")</f>
        <v/>
      </c>
      <c r="H19" s="2" t="n"/>
    </row>
    <row r="20">
      <c r="A20" s="5" t="n">
        <v>45709</v>
      </c>
      <c r="B20" s="2" t="inlineStr">
        <is>
          <t>장예원</t>
        </is>
      </c>
      <c r="C20" s="6" t="n">
        <v>0.5416666666666666</v>
      </c>
      <c r="D20" s="6" t="n">
        <v>0.7916666666666666</v>
      </c>
      <c r="E20" s="7">
        <f>IF(AND(C20&lt;&gt;"",D20&lt;&gt;""),D20-C20,0)</f>
        <v/>
      </c>
      <c r="F20" s="3" t="n">
        <v>72000</v>
      </c>
      <c r="G20" s="8">
        <f>IFERROR(IF(B20&lt;&gt;"",INDEX('직원 마스터'!B$2:B$31,MATCH(1,('직원 마스터'!A$2:A$31=B20)*('직원 마스터'!F$2:F$31&lt;=(YEAR(A20)*100+MONTH(A20)))*(('직원 마스터'!G$2:G$31="")+('직원 마스터'!G$2:G$31&gt;=(YEAR(A20)*100+MONTH(A20)))),0)),""),"")</f>
        <v/>
      </c>
      <c r="H20" s="2" t="n"/>
    </row>
    <row r="21">
      <c r="A21" s="5" t="n">
        <v>45710</v>
      </c>
      <c r="B21" s="2" t="inlineStr">
        <is>
          <t>장예원</t>
        </is>
      </c>
      <c r="C21" s="6" t="n">
        <v>0.4375</v>
      </c>
      <c r="D21" s="6" t="n">
        <v>0.6041666666666666</v>
      </c>
      <c r="E21" s="7">
        <f>IF(AND(C21&lt;&gt;"",D21&lt;&gt;""),D21-C21,0)</f>
        <v/>
      </c>
      <c r="F21" s="3" t="n">
        <v>48000</v>
      </c>
      <c r="G21" s="8">
        <f>IFERROR(IF(B21&lt;&gt;"",INDEX('직원 마스터'!B$2:B$31,MATCH(1,('직원 마스터'!A$2:A$31=B21)*('직원 마스터'!F$2:F$31&lt;=(YEAR(A21)*100+MONTH(A21)))*(('직원 마스터'!G$2:G$31="")+('직원 마스터'!G$2:G$31&gt;=(YEAR(A21)*100+MONTH(A21)))),0)),""),"")</f>
        <v/>
      </c>
      <c r="H21" s="2" t="n"/>
    </row>
    <row r="22">
      <c r="A22" s="5" t="n">
        <v>45712</v>
      </c>
      <c r="B22" s="2" t="inlineStr">
        <is>
          <t>유은비</t>
        </is>
      </c>
      <c r="C22" s="6" t="n">
        <v>0.6041666666666666</v>
      </c>
      <c r="D22" s="6" t="n">
        <v>0.7708333333333334</v>
      </c>
      <c r="E22" s="7">
        <f>IF(AND(C22&lt;&gt;"",D22&lt;&gt;""),D22-C22,0)</f>
        <v/>
      </c>
      <c r="F22" s="3" t="n">
        <v>48000</v>
      </c>
      <c r="G22" s="8">
        <f>IFERROR(IF(B22&lt;&gt;"",INDEX('직원 마스터'!B$2:B$31,MATCH(1,('직원 마스터'!A$2:A$31=B22)*('직원 마스터'!F$2:F$31&lt;=(YEAR(A22)*100+MONTH(A22)))*(('직원 마스터'!G$2:G$31="")+('직원 마스터'!G$2:G$31&gt;=(YEAR(A22)*100+MONTH(A22)))),0)),""),"")</f>
        <v/>
      </c>
      <c r="H22" s="2" t="n"/>
    </row>
    <row r="23">
      <c r="A23" s="5" t="n">
        <v>45713</v>
      </c>
      <c r="B23" s="2" t="inlineStr">
        <is>
          <t>장예원</t>
        </is>
      </c>
      <c r="C23" s="6" t="n">
        <v>0.5833333333333334</v>
      </c>
      <c r="D23" s="6" t="n">
        <v>0.7916666666666666</v>
      </c>
      <c r="E23" s="7">
        <f>IF(AND(C23&lt;&gt;"",D23&lt;&gt;""),D23-C23,0)</f>
        <v/>
      </c>
      <c r="F23" s="3" t="n">
        <v>60000</v>
      </c>
      <c r="G23" s="8">
        <f>IFERROR(IF(B23&lt;&gt;"",INDEX('직원 마스터'!B$2:B$31,MATCH(1,('직원 마스터'!A$2:A$31=B23)*('직원 마스터'!F$2:F$31&lt;=(YEAR(A23)*100+MONTH(A23)))*(('직원 마스터'!G$2:G$31="")+('직원 마스터'!G$2:G$31&gt;=(YEAR(A23)*100+MONTH(A23)))),0)),""),"")</f>
        <v/>
      </c>
      <c r="H23" s="2" t="n"/>
    </row>
    <row r="24">
      <c r="A24" s="5" t="n">
        <v>45714</v>
      </c>
      <c r="B24" s="2" t="inlineStr">
        <is>
          <t>장예원</t>
        </is>
      </c>
      <c r="C24" s="6" t="n">
        <v>0.625</v>
      </c>
      <c r="D24" s="6" t="n">
        <v>0.7916666666666666</v>
      </c>
      <c r="E24" s="7">
        <f>IF(AND(C24&lt;&gt;"",D24&lt;&gt;""),D24-C24,0)</f>
        <v/>
      </c>
      <c r="F24" s="3" t="n">
        <v>48000</v>
      </c>
      <c r="G24" s="8">
        <f>IFERROR(IF(B24&lt;&gt;"",INDEX('직원 마스터'!B$2:B$31,MATCH(1,('직원 마스터'!A$2:A$31=B24)*('직원 마스터'!F$2:F$31&lt;=(YEAR(A24)*100+MONTH(A24)))*(('직원 마스터'!G$2:G$31="")+('직원 마스터'!G$2:G$31&gt;=(YEAR(A24)*100+MONTH(A24)))),0)),""),"")</f>
        <v/>
      </c>
      <c r="H24" s="2" t="n"/>
    </row>
    <row r="25">
      <c r="A25" s="5" t="n">
        <v>45715</v>
      </c>
      <c r="B25" s="2" t="inlineStr">
        <is>
          <t>장예원</t>
        </is>
      </c>
      <c r="C25" s="6" t="n">
        <v>0.625</v>
      </c>
      <c r="D25" s="6" t="n">
        <v>0.7916666666666666</v>
      </c>
      <c r="E25" s="7">
        <f>IF(AND(C25&lt;&gt;"",D25&lt;&gt;""),D25-C25,0)</f>
        <v/>
      </c>
      <c r="F25" s="3" t="n">
        <v>48000</v>
      </c>
      <c r="G25" s="8">
        <f>IFERROR(IF(B25&lt;&gt;"",INDEX('직원 마스터'!B$2:B$31,MATCH(1,('직원 마스터'!A$2:A$31=B25)*('직원 마스터'!F$2:F$31&lt;=(YEAR(A25)*100+MONTH(A25)))*(('직원 마스터'!G$2:G$31="")+('직원 마스터'!G$2:G$31&gt;=(YEAR(A25)*100+MONTH(A25)))),0)),""),"")</f>
        <v/>
      </c>
      <c r="H25" s="2" t="n"/>
    </row>
    <row r="26">
      <c r="A26" s="5" t="n">
        <v>45716</v>
      </c>
      <c r="B26" s="2" t="inlineStr">
        <is>
          <t>장예원</t>
        </is>
      </c>
      <c r="C26" s="6" t="n">
        <v>0.5416666666666666</v>
      </c>
      <c r="D26" s="6" t="n">
        <v>0.7916666666666666</v>
      </c>
      <c r="E26" s="7">
        <f>IF(AND(C26&lt;&gt;"",D26&lt;&gt;""),D26-C26,0)</f>
        <v/>
      </c>
      <c r="F26" s="3" t="n">
        <v>72000</v>
      </c>
      <c r="G26" s="8">
        <f>IFERROR(IF(B26&lt;&gt;"",INDEX('직원 마스터'!B$2:B$31,MATCH(1,('직원 마스터'!A$2:A$31=B26)*('직원 마스터'!F$2:F$31&lt;=(YEAR(A26)*100+MONTH(A26)))*(('직원 마스터'!G$2:G$31="")+('직원 마스터'!G$2:G$31&gt;=(YEAR(A26)*100+MONTH(A26)))),0)),""),"")</f>
        <v/>
      </c>
      <c r="H26" s="2" t="n"/>
    </row>
    <row r="27">
      <c r="A27" s="5" t="n">
        <v>45720</v>
      </c>
      <c r="B27" s="2" t="inlineStr">
        <is>
          <t>유은비</t>
        </is>
      </c>
      <c r="C27" s="6" t="n">
        <v>0.6041666666666666</v>
      </c>
      <c r="D27" s="6" t="n">
        <v>0.7708333333333334</v>
      </c>
      <c r="E27" s="7">
        <f>IF(AND(C27&lt;&gt;"",D27&lt;&gt;""),D27-C27,0)</f>
        <v/>
      </c>
      <c r="F27" s="3" t="n">
        <v>48000</v>
      </c>
      <c r="G27" s="8">
        <f>IFERROR(IF(B27&lt;&gt;"",INDEX('직원 마스터'!B$2:B$31,MATCH(1,('직원 마스터'!A$2:A$31=B27)*('직원 마스터'!F$2:F$31&lt;=(YEAR(A27)*100+MONTH(A27)))*(('직원 마스터'!G$2:G$31="")+('직원 마스터'!G$2:G$31&gt;=(YEAR(A27)*100+MONTH(A27)))),0)),""),"")</f>
        <v/>
      </c>
      <c r="H27" s="2" t="n"/>
    </row>
    <row r="28">
      <c r="A28" s="5" t="n">
        <v>45721</v>
      </c>
      <c r="B28" s="2" t="inlineStr">
        <is>
          <t>유은비</t>
        </is>
      </c>
      <c r="C28" s="6" t="n">
        <v>0.6041666666666666</v>
      </c>
      <c r="D28" s="6" t="n">
        <v>0.7708333333333334</v>
      </c>
      <c r="E28" s="7">
        <f>IF(AND(C28&lt;&gt;"",D28&lt;&gt;""),D28-C28,0)</f>
        <v/>
      </c>
      <c r="F28" s="3" t="n">
        <v>48000</v>
      </c>
      <c r="G28" s="8">
        <f>IFERROR(IF(B28&lt;&gt;"",INDEX('직원 마스터'!B$2:B$31,MATCH(1,('직원 마스터'!A$2:A$31=B28)*('직원 마스터'!F$2:F$31&lt;=(YEAR(A28)*100+MONTH(A28)))*(('직원 마스터'!G$2:G$31="")+('직원 마스터'!G$2:G$31&gt;=(YEAR(A28)*100+MONTH(A28)))),0)),""),"")</f>
        <v/>
      </c>
      <c r="H28" s="2" t="n"/>
    </row>
    <row r="29">
      <c r="A29" s="5" t="n">
        <v>45722</v>
      </c>
      <c r="B29" s="2" t="inlineStr">
        <is>
          <t>장예원</t>
        </is>
      </c>
      <c r="C29" s="6" t="n">
        <v>0.6041666666666666</v>
      </c>
      <c r="D29" s="6" t="n">
        <v>0.7708333333333334</v>
      </c>
      <c r="E29" s="7">
        <f>IF(AND(C29&lt;&gt;"",D29&lt;&gt;""),D29-C29,0)</f>
        <v/>
      </c>
      <c r="F29" s="3" t="n">
        <v>48000</v>
      </c>
      <c r="G29" s="8">
        <f>IFERROR(IF(B29&lt;&gt;"",INDEX('직원 마스터'!B$2:B$31,MATCH(1,('직원 마스터'!A$2:A$31=B29)*('직원 마스터'!F$2:F$31&lt;=(YEAR(A29)*100+MONTH(A29)))*(('직원 마스터'!G$2:G$31="")+('직원 마스터'!G$2:G$31&gt;=(YEAR(A29)*100+MONTH(A29)))),0)),""),"")</f>
        <v/>
      </c>
      <c r="H29" s="2" t="n"/>
    </row>
    <row r="30">
      <c r="A30" s="5" t="n">
        <v>45723</v>
      </c>
      <c r="B30" s="2" t="inlineStr">
        <is>
          <t>장예원</t>
        </is>
      </c>
      <c r="C30" s="6" t="n">
        <v>0.5416666666666666</v>
      </c>
      <c r="D30" s="6" t="n">
        <v>0.7916666666666666</v>
      </c>
      <c r="E30" s="7">
        <f>IF(AND(C30&lt;&gt;"",D30&lt;&gt;""),D30-C30,0)</f>
        <v/>
      </c>
      <c r="F30" s="3" t="n">
        <v>72000</v>
      </c>
      <c r="G30" s="8">
        <f>IFERROR(IF(B30&lt;&gt;"",INDEX('직원 마스터'!B$2:B$31,MATCH(1,('직원 마스터'!A$2:A$31=B30)*('직원 마스터'!F$2:F$31&lt;=(YEAR(A30)*100+MONTH(A30)))*(('직원 마스터'!G$2:G$31="")+('직원 마스터'!G$2:G$31&gt;=(YEAR(A30)*100+MONTH(A30)))),0)),""),"")</f>
        <v/>
      </c>
      <c r="H30" s="2" t="n"/>
    </row>
    <row r="31">
      <c r="A31" s="5" t="n">
        <v>45724</v>
      </c>
      <c r="B31" s="2" t="inlineStr">
        <is>
          <t>장예원</t>
        </is>
      </c>
      <c r="C31" s="6" t="n">
        <v>0.4375</v>
      </c>
      <c r="D31" s="6" t="n">
        <v>0.6041666666666666</v>
      </c>
      <c r="E31" s="7">
        <f>IF(AND(C31&lt;&gt;"",D31&lt;&gt;""),D31-C31,0)</f>
        <v/>
      </c>
      <c r="F31" s="3" t="n">
        <v>48000</v>
      </c>
      <c r="G31" s="8">
        <f>IFERROR(IF(B31&lt;&gt;"",INDEX('직원 마스터'!B$2:B$31,MATCH(1,('직원 마스터'!A$2:A$31=B31)*('직원 마스터'!F$2:F$31&lt;=(YEAR(A31)*100+MONTH(A31)))*(('직원 마스터'!G$2:G$31="")+('직원 마스터'!G$2:G$31&gt;=(YEAR(A31)*100+MONTH(A31)))),0)),""),"")</f>
        <v/>
      </c>
      <c r="H31" s="2" t="n"/>
    </row>
    <row r="32">
      <c r="A32" s="5" t="n">
        <v>45726</v>
      </c>
      <c r="B32" s="2" t="inlineStr">
        <is>
          <t>유은비</t>
        </is>
      </c>
      <c r="C32" s="6" t="n">
        <v>0.6041666666666666</v>
      </c>
      <c r="D32" s="6" t="n">
        <v>0.7708333333333334</v>
      </c>
      <c r="E32" s="7">
        <f>IF(AND(C32&lt;&gt;"",D32&lt;&gt;""),D32-C32,0)</f>
        <v/>
      </c>
      <c r="F32" s="3" t="n">
        <v>48000</v>
      </c>
      <c r="G32" s="8">
        <f>IFERROR(IF(B32&lt;&gt;"",INDEX('직원 마스터'!B$2:B$31,MATCH(1,('직원 마스터'!A$2:A$31=B32)*('직원 마스터'!F$2:F$31&lt;=(YEAR(A32)*100+MONTH(A32)))*(('직원 마스터'!G$2:G$31="")+('직원 마스터'!G$2:G$31&gt;=(YEAR(A32)*100+MONTH(A32)))),0)),""),"")</f>
        <v/>
      </c>
      <c r="H32" s="2" t="n"/>
    </row>
    <row r="33">
      <c r="A33" s="5" t="n">
        <v>45727</v>
      </c>
      <c r="B33" s="2" t="inlineStr">
        <is>
          <t>유은비</t>
        </is>
      </c>
      <c r="C33" s="6" t="n">
        <v>0.6041666666666666</v>
      </c>
      <c r="D33" s="6" t="n">
        <v>0.7708333333333334</v>
      </c>
      <c r="E33" s="7">
        <f>IF(AND(C33&lt;&gt;"",D33&lt;&gt;""),D33-C33,0)</f>
        <v/>
      </c>
      <c r="F33" s="3" t="n">
        <v>48000</v>
      </c>
      <c r="G33" s="8">
        <f>IFERROR(IF(B33&lt;&gt;"",INDEX('직원 마스터'!B$2:B$31,MATCH(1,('직원 마스터'!A$2:A$31=B33)*('직원 마스터'!F$2:F$31&lt;=(YEAR(A33)*100+MONTH(A33)))*(('직원 마스터'!G$2:G$31="")+('직원 마스터'!G$2:G$31&gt;=(YEAR(A33)*100+MONTH(A33)))),0)),""),"")</f>
        <v/>
      </c>
      <c r="H33" s="2" t="n"/>
    </row>
    <row r="34">
      <c r="A34" s="5" t="n">
        <v>45728</v>
      </c>
      <c r="B34" s="2" t="inlineStr">
        <is>
          <t>유은비</t>
        </is>
      </c>
      <c r="C34" s="6" t="n">
        <v>0.6041666666666666</v>
      </c>
      <c r="D34" s="6" t="n">
        <v>0.7708333333333334</v>
      </c>
      <c r="E34" s="7">
        <f>IF(AND(C34&lt;&gt;"",D34&lt;&gt;""),D34-C34,0)</f>
        <v/>
      </c>
      <c r="F34" s="3" t="n">
        <v>48000</v>
      </c>
      <c r="G34" s="8">
        <f>IFERROR(IF(B34&lt;&gt;"",INDEX('직원 마스터'!B$2:B$31,MATCH(1,('직원 마스터'!A$2:A$31=B34)*('직원 마스터'!F$2:F$31&lt;=(YEAR(A34)*100+MONTH(A34)))*(('직원 마스터'!G$2:G$31="")+('직원 마스터'!G$2:G$31&gt;=(YEAR(A34)*100+MONTH(A34)))),0)),""),"")</f>
        <v/>
      </c>
      <c r="H34" s="2" t="n"/>
    </row>
    <row r="35">
      <c r="A35" s="5" t="n">
        <v>45729</v>
      </c>
      <c r="B35" s="2" t="inlineStr">
        <is>
          <t>장예원</t>
        </is>
      </c>
      <c r="C35" s="6" t="n">
        <v>0.6041666666666666</v>
      </c>
      <c r="D35" s="6" t="n">
        <v>0.7708333333333334</v>
      </c>
      <c r="E35" s="7">
        <f>IF(AND(C35&lt;&gt;"",D35&lt;&gt;""),D35-C35,0)</f>
        <v/>
      </c>
      <c r="F35" s="3" t="n">
        <v>48000</v>
      </c>
      <c r="G35" s="8">
        <f>IFERROR(IF(B35&lt;&gt;"",INDEX('직원 마스터'!B$2:B$31,MATCH(1,('직원 마스터'!A$2:A$31=B35)*('직원 마스터'!F$2:F$31&lt;=(YEAR(A35)*100+MONTH(A35)))*(('직원 마스터'!G$2:G$31="")+('직원 마스터'!G$2:G$31&gt;=(YEAR(A35)*100+MONTH(A35)))),0)),""),"")</f>
        <v/>
      </c>
      <c r="H35" s="2" t="n"/>
    </row>
    <row r="36">
      <c r="A36" s="5" t="n">
        <v>45730</v>
      </c>
      <c r="B36" s="2" t="inlineStr">
        <is>
          <t>장예원</t>
        </is>
      </c>
      <c r="C36" s="6" t="n">
        <v>0.5416666666666666</v>
      </c>
      <c r="D36" s="6" t="n">
        <v>0.7916666666666666</v>
      </c>
      <c r="E36" s="7">
        <f>IF(AND(C36&lt;&gt;"",D36&lt;&gt;""),D36-C36,0)</f>
        <v/>
      </c>
      <c r="F36" s="3" t="n">
        <v>72000</v>
      </c>
      <c r="G36" s="8">
        <f>IFERROR(IF(B36&lt;&gt;"",INDEX('직원 마스터'!B$2:B$31,MATCH(1,('직원 마스터'!A$2:A$31=B36)*('직원 마스터'!F$2:F$31&lt;=(YEAR(A36)*100+MONTH(A36)))*(('직원 마스터'!G$2:G$31="")+('직원 마스터'!G$2:G$31&gt;=(YEAR(A36)*100+MONTH(A36)))),0)),""),"")</f>
        <v/>
      </c>
      <c r="H36" s="2" t="n"/>
    </row>
    <row r="37">
      <c r="A37" s="5" t="n">
        <v>45731</v>
      </c>
      <c r="B37" s="2" t="inlineStr">
        <is>
          <t>장예원</t>
        </is>
      </c>
      <c r="C37" s="6" t="n">
        <v>0.4375</v>
      </c>
      <c r="D37" s="6" t="n">
        <v>0.6041666666666666</v>
      </c>
      <c r="E37" s="7">
        <f>IF(AND(C37&lt;&gt;"",D37&lt;&gt;""),D37-C37,0)</f>
        <v/>
      </c>
      <c r="F37" s="3" t="n">
        <v>48000</v>
      </c>
      <c r="G37" s="8">
        <f>IFERROR(IF(B37&lt;&gt;"",INDEX('직원 마스터'!B$2:B$31,MATCH(1,('직원 마스터'!A$2:A$31=B37)*('직원 마스터'!F$2:F$31&lt;=(YEAR(A37)*100+MONTH(A37)))*(('직원 마스터'!G$2:G$31="")+('직원 마스터'!G$2:G$31&gt;=(YEAR(A37)*100+MONTH(A37)))),0)),""),"")</f>
        <v/>
      </c>
      <c r="H37" s="2" t="n"/>
    </row>
    <row r="38">
      <c r="A38" s="5" t="n">
        <v>45733</v>
      </c>
      <c r="B38" s="2" t="inlineStr">
        <is>
          <t>전민아</t>
        </is>
      </c>
      <c r="C38" s="6" t="n">
        <v>0.5416666666666666</v>
      </c>
      <c r="D38" s="6" t="n">
        <v>0.7916666666666666</v>
      </c>
      <c r="E38" s="7">
        <f>IF(AND(C38&lt;&gt;"",D38&lt;&gt;""),D38-C38,0)</f>
        <v/>
      </c>
      <c r="F38" s="3" t="n">
        <v>72000</v>
      </c>
      <c r="G38" s="8">
        <f>IFERROR(IF(B38&lt;&gt;"",INDEX('직원 마스터'!B$2:B$31,MATCH(1,('직원 마스터'!A$2:A$31=B38)*('직원 마스터'!F$2:F$31&lt;=(YEAR(A38)*100+MONTH(A38)))*(('직원 마스터'!G$2:G$31="")+('직원 마스터'!G$2:G$31&gt;=(YEAR(A38)*100+MONTH(A38)))),0)),""),"")</f>
        <v/>
      </c>
      <c r="H38" s="2" t="n"/>
    </row>
    <row r="39">
      <c r="A39" s="5" t="n">
        <v>45734</v>
      </c>
      <c r="B39" s="2" t="inlineStr">
        <is>
          <t>전민아</t>
        </is>
      </c>
      <c r="C39" s="6" t="n">
        <v>0.5416666666666666</v>
      </c>
      <c r="D39" s="6" t="n">
        <v>0.7916666666666666</v>
      </c>
      <c r="E39" s="7">
        <f>IF(AND(C39&lt;&gt;"",D39&lt;&gt;""),D39-C39,0)</f>
        <v/>
      </c>
      <c r="F39" s="3" t="n">
        <v>72000</v>
      </c>
      <c r="G39" s="8">
        <f>IFERROR(IF(B39&lt;&gt;"",INDEX('직원 마스터'!B$2:B$31,MATCH(1,('직원 마스터'!A$2:A$31=B39)*('직원 마스터'!F$2:F$31&lt;=(YEAR(A39)*100+MONTH(A39)))*(('직원 마스터'!G$2:G$31="")+('직원 마스터'!G$2:G$31&gt;=(YEAR(A39)*100+MONTH(A39)))),0)),""),"")</f>
        <v/>
      </c>
      <c r="H39" s="2" t="n"/>
    </row>
    <row r="40">
      <c r="A40" s="5" t="n">
        <v>45735</v>
      </c>
      <c r="B40" s="2" t="inlineStr">
        <is>
          <t>전민아</t>
        </is>
      </c>
      <c r="C40" s="6" t="n">
        <v>0.5416666666666666</v>
      </c>
      <c r="D40" s="6" t="n">
        <v>0.7916666666666666</v>
      </c>
      <c r="E40" s="7">
        <f>IF(AND(C40&lt;&gt;"",D40&lt;&gt;""),D40-C40,0)</f>
        <v/>
      </c>
      <c r="F40" s="3" t="n">
        <v>72000</v>
      </c>
      <c r="G40" s="8">
        <f>IFERROR(IF(B40&lt;&gt;"",INDEX('직원 마스터'!B$2:B$31,MATCH(1,('직원 마스터'!A$2:A$31=B40)*('직원 마스터'!F$2:F$31&lt;=(YEAR(A40)*100+MONTH(A40)))*(('직원 마스터'!G$2:G$31="")+('직원 마스터'!G$2:G$31&gt;=(YEAR(A40)*100+MONTH(A40)))),0)),""),"")</f>
        <v/>
      </c>
      <c r="H40" s="2" t="n"/>
    </row>
    <row r="41">
      <c r="A41" s="5" t="n">
        <v>45736</v>
      </c>
      <c r="B41" s="2" t="inlineStr">
        <is>
          <t>장예원</t>
        </is>
      </c>
      <c r="C41" s="6" t="n">
        <v>0.6041666666666666</v>
      </c>
      <c r="D41" s="6" t="n">
        <v>0.7708333333333334</v>
      </c>
      <c r="E41" s="7">
        <f>IF(AND(C41&lt;&gt;"",D41&lt;&gt;""),D41-C41,0)</f>
        <v/>
      </c>
      <c r="F41" s="3" t="n">
        <v>48000</v>
      </c>
      <c r="G41" s="8">
        <f>IFERROR(IF(B41&lt;&gt;"",INDEX('직원 마스터'!B$2:B$31,MATCH(1,('직원 마스터'!A$2:A$31=B41)*('직원 마스터'!F$2:F$31&lt;=(YEAR(A41)*100+MONTH(A41)))*(('직원 마스터'!G$2:G$31="")+('직원 마스터'!G$2:G$31&gt;=(YEAR(A41)*100+MONTH(A41)))),0)),""),"")</f>
        <v/>
      </c>
      <c r="H41" s="2" t="n"/>
    </row>
    <row r="42">
      <c r="A42" s="5" t="n">
        <v>45737</v>
      </c>
      <c r="B42" s="2" t="inlineStr">
        <is>
          <t>장예원</t>
        </is>
      </c>
      <c r="C42" s="6" t="n">
        <v>0.5416666666666666</v>
      </c>
      <c r="D42" s="6" t="n">
        <v>0.7916666666666666</v>
      </c>
      <c r="E42" s="7">
        <f>IF(AND(C42&lt;&gt;"",D42&lt;&gt;""),D42-C42,0)</f>
        <v/>
      </c>
      <c r="F42" s="3" t="n">
        <v>72000</v>
      </c>
      <c r="G42" s="8">
        <f>IFERROR(IF(B42&lt;&gt;"",INDEX('직원 마스터'!B$2:B$31,MATCH(1,('직원 마스터'!A$2:A$31=B42)*('직원 마스터'!F$2:F$31&lt;=(YEAR(A42)*100+MONTH(A42)))*(('직원 마스터'!G$2:G$31="")+('직원 마스터'!G$2:G$31&gt;=(YEAR(A42)*100+MONTH(A42)))),0)),""),"")</f>
        <v/>
      </c>
      <c r="H42" s="2" t="n"/>
    </row>
    <row r="43">
      <c r="A43" s="5" t="n">
        <v>45738</v>
      </c>
      <c r="B43" s="2" t="inlineStr">
        <is>
          <t>장예원</t>
        </is>
      </c>
      <c r="C43" s="6" t="n">
        <v>0.4375</v>
      </c>
      <c r="D43" s="6" t="n">
        <v>0.6041666666666666</v>
      </c>
      <c r="E43" s="7">
        <f>IF(AND(C43&lt;&gt;"",D43&lt;&gt;""),D43-C43,0)</f>
        <v/>
      </c>
      <c r="F43" s="3" t="n">
        <v>48000</v>
      </c>
      <c r="G43" s="8">
        <f>IFERROR(IF(B43&lt;&gt;"",INDEX('직원 마스터'!B$2:B$31,MATCH(1,('직원 마스터'!A$2:A$31=B43)*('직원 마스터'!F$2:F$31&lt;=(YEAR(A43)*100+MONTH(A43)))*(('직원 마스터'!G$2:G$31="")+('직원 마스터'!G$2:G$31&gt;=(YEAR(A43)*100+MONTH(A43)))),0)),""),"")</f>
        <v/>
      </c>
      <c r="H43" s="2" t="n"/>
    </row>
    <row r="44">
      <c r="A44" s="5" t="n">
        <v>45740</v>
      </c>
      <c r="B44" s="2" t="inlineStr">
        <is>
          <t>전민아</t>
        </is>
      </c>
      <c r="C44" s="6" t="n">
        <v>0.5416666666666666</v>
      </c>
      <c r="D44" s="6" t="n">
        <v>0.75</v>
      </c>
      <c r="E44" s="7">
        <f>IF(AND(C44&lt;&gt;"",D44&lt;&gt;""),D44-C44,0)</f>
        <v/>
      </c>
      <c r="F44" s="3" t="n">
        <v>60000</v>
      </c>
      <c r="G44" s="8">
        <f>IFERROR(IF(B44&lt;&gt;"",INDEX('직원 마스터'!B$2:B$31,MATCH(1,('직원 마스터'!A$2:A$31=B44)*('직원 마스터'!F$2:F$31&lt;=(YEAR(A44)*100+MONTH(A44)))*(('직원 마스터'!G$2:G$31="")+('직원 마스터'!G$2:G$31&gt;=(YEAR(A44)*100+MONTH(A44)))),0)),""),"")</f>
        <v/>
      </c>
      <c r="H44" s="2" t="n"/>
    </row>
    <row r="45">
      <c r="A45" s="5" t="n">
        <v>45741</v>
      </c>
      <c r="B45" s="2" t="inlineStr">
        <is>
          <t>장예원</t>
        </is>
      </c>
      <c r="C45" s="6" t="n">
        <v>0.625</v>
      </c>
      <c r="D45" s="6" t="n">
        <v>0.75</v>
      </c>
      <c r="E45" s="7">
        <f>IF(AND(C45&lt;&gt;"",D45&lt;&gt;""),D45-C45,0)</f>
        <v/>
      </c>
      <c r="F45" s="3" t="n">
        <v>36000</v>
      </c>
      <c r="G45" s="8">
        <f>IFERROR(IF(B45&lt;&gt;"",INDEX('직원 마스터'!B$2:B$31,MATCH(1,('직원 마스터'!A$2:A$31=B45)*('직원 마스터'!F$2:F$31&lt;=(YEAR(A45)*100+MONTH(A45)))*(('직원 마스터'!G$2:G$31="")+('직원 마스터'!G$2:G$31&gt;=(YEAR(A45)*100+MONTH(A45)))),0)),""),"")</f>
        <v/>
      </c>
      <c r="H45" s="2" t="n"/>
    </row>
    <row r="46">
      <c r="A46" s="5" t="n">
        <v>45742</v>
      </c>
      <c r="B46" s="2" t="inlineStr">
        <is>
          <t>장예원</t>
        </is>
      </c>
      <c r="C46" s="6" t="n">
        <v>0.625</v>
      </c>
      <c r="D46" s="6" t="n">
        <v>0.7916666666666666</v>
      </c>
      <c r="E46" s="7">
        <f>IF(AND(C46&lt;&gt;"",D46&lt;&gt;""),D46-C46,0)</f>
        <v/>
      </c>
      <c r="F46" s="3" t="n">
        <v>48000</v>
      </c>
      <c r="G46" s="8">
        <f>IFERROR(IF(B46&lt;&gt;"",INDEX('직원 마스터'!B$2:B$31,MATCH(1,('직원 마스터'!A$2:A$31=B46)*('직원 마스터'!F$2:F$31&lt;=(YEAR(A46)*100+MONTH(A46)))*(('직원 마스터'!G$2:G$31="")+('직원 마스터'!G$2:G$31&gt;=(YEAR(A46)*100+MONTH(A46)))),0)),""),"")</f>
        <v/>
      </c>
      <c r="H46" s="2" t="n"/>
    </row>
    <row r="47">
      <c r="A47" s="5" t="n">
        <v>45743</v>
      </c>
      <c r="B47" s="2" t="inlineStr">
        <is>
          <t>장예원</t>
        </is>
      </c>
      <c r="C47" s="6" t="n">
        <v>0.6041666666666666</v>
      </c>
      <c r="D47" s="6" t="n">
        <v>0.7708333333333334</v>
      </c>
      <c r="E47" s="7">
        <f>IF(AND(C47&lt;&gt;"",D47&lt;&gt;""),D47-C47,0)</f>
        <v/>
      </c>
      <c r="F47" s="3" t="n">
        <v>48000</v>
      </c>
      <c r="G47" s="8">
        <f>IFERROR(IF(B47&lt;&gt;"",INDEX('직원 마스터'!B$2:B$31,MATCH(1,('직원 마스터'!A$2:A$31=B47)*('직원 마스터'!F$2:F$31&lt;=(YEAR(A47)*100+MONTH(A47)))*(('직원 마스터'!G$2:G$31="")+('직원 마스터'!G$2:G$31&gt;=(YEAR(A47)*100+MONTH(A47)))),0)),""),"")</f>
        <v/>
      </c>
      <c r="H47" s="2" t="n"/>
    </row>
    <row r="48">
      <c r="A48" s="5" t="n">
        <v>45744</v>
      </c>
      <c r="B48" s="2" t="inlineStr">
        <is>
          <t>장예원</t>
        </is>
      </c>
      <c r="C48" s="6" t="n">
        <v>0.5416666666666666</v>
      </c>
      <c r="D48" s="6" t="n">
        <v>0.7916666666666666</v>
      </c>
      <c r="E48" s="7">
        <f>IF(AND(C48&lt;&gt;"",D48&lt;&gt;""),D48-C48,0)</f>
        <v/>
      </c>
      <c r="F48" s="3" t="n">
        <v>72000</v>
      </c>
      <c r="G48" s="8">
        <f>IFERROR(IF(B48&lt;&gt;"",INDEX('직원 마스터'!B$2:B$31,MATCH(1,('직원 마스터'!A$2:A$31=B48)*('직원 마스터'!F$2:F$31&lt;=(YEAR(A48)*100+MONTH(A48)))*(('직원 마스터'!G$2:G$31="")+('직원 마스터'!G$2:G$31&gt;=(YEAR(A48)*100+MONTH(A48)))),0)),""),"")</f>
        <v/>
      </c>
      <c r="H48" s="2" t="n"/>
    </row>
    <row r="49">
      <c r="A49" s="5" t="n">
        <v>45745</v>
      </c>
      <c r="B49" s="2" t="inlineStr">
        <is>
          <t>장예원</t>
        </is>
      </c>
      <c r="C49" s="6" t="n">
        <v>0.4375</v>
      </c>
      <c r="D49" s="6" t="n">
        <v>0.6041666666666666</v>
      </c>
      <c r="E49" s="7">
        <f>IF(AND(C49&lt;&gt;"",D49&lt;&gt;""),D49-C49,0)</f>
        <v/>
      </c>
      <c r="F49" s="3" t="n">
        <v>48000</v>
      </c>
      <c r="G49" s="8">
        <f>IFERROR(IF(B49&lt;&gt;"",INDEX('직원 마스터'!B$2:B$31,MATCH(1,('직원 마스터'!A$2:A$31=B49)*('직원 마스터'!F$2:F$31&lt;=(YEAR(A49)*100+MONTH(A49)))*(('직원 마스터'!G$2:G$31="")+('직원 마스터'!G$2:G$31&gt;=(YEAR(A49)*100+MONTH(A49)))),0)),""),"")</f>
        <v/>
      </c>
      <c r="H49" s="2" t="n"/>
    </row>
    <row r="50">
      <c r="A50" s="5" t="n">
        <v>45747</v>
      </c>
      <c r="B50" s="2" t="inlineStr">
        <is>
          <t>고경민</t>
        </is>
      </c>
      <c r="C50" s="6" t="n">
        <v>0.5833333333333334</v>
      </c>
      <c r="D50" s="6" t="n">
        <v>0.7916666666666666</v>
      </c>
      <c r="E50" s="7">
        <f>IF(AND(C50&lt;&gt;"",D50&lt;&gt;""),D50-C50,0)</f>
        <v/>
      </c>
      <c r="F50" s="3" t="n">
        <v>60000</v>
      </c>
      <c r="G50" s="8">
        <f>IFERROR(IF(B50&lt;&gt;"",INDEX('직원 마스터'!B$2:B$31,MATCH(1,('직원 마스터'!A$2:A$31=B50)*('직원 마스터'!F$2:F$31&lt;=(YEAR(A50)*100+MONTH(A50)))*(('직원 마스터'!G$2:G$31="")+('직원 마스터'!G$2:G$31&gt;=(YEAR(A50)*100+MONTH(A50)))),0)),""),"")</f>
        <v/>
      </c>
      <c r="H50" s="2" t="n"/>
    </row>
    <row r="51">
      <c r="A51" s="5" t="n">
        <v>45748</v>
      </c>
      <c r="B51" s="2" t="inlineStr">
        <is>
          <t>고경민</t>
        </is>
      </c>
      <c r="C51" s="6" t="n">
        <v>0.5833333333333334</v>
      </c>
      <c r="D51" s="6" t="n">
        <v>0.7916666666666666</v>
      </c>
      <c r="E51" s="7">
        <f>IF(AND(C51&lt;&gt;"",D51&lt;&gt;""),D51-C51,0)</f>
        <v/>
      </c>
      <c r="F51" s="3" t="n">
        <v>60000</v>
      </c>
      <c r="G51" s="8">
        <f>IFERROR(IF(B51&lt;&gt;"",INDEX('직원 마스터'!B$2:B$31,MATCH(1,('직원 마스터'!A$2:A$31=B51)*('직원 마스터'!F$2:F$31&lt;=(YEAR(A51)*100+MONTH(A51)))*(('직원 마스터'!G$2:G$31="")+('직원 마스터'!G$2:G$31&gt;=(YEAR(A51)*100+MONTH(A51)))),0)),""),"")</f>
        <v/>
      </c>
      <c r="H51" s="2" t="n"/>
    </row>
    <row r="52">
      <c r="A52" s="5" t="n">
        <v>45749</v>
      </c>
      <c r="B52" s="2" t="inlineStr">
        <is>
          <t>고경민</t>
        </is>
      </c>
      <c r="C52" s="6" t="n">
        <v>0.5833333333333334</v>
      </c>
      <c r="D52" s="6" t="n">
        <v>0.7916666666666666</v>
      </c>
      <c r="E52" s="7">
        <f>IF(AND(C52&lt;&gt;"",D52&lt;&gt;""),D52-C52,0)</f>
        <v/>
      </c>
      <c r="F52" s="3" t="n">
        <v>60000</v>
      </c>
      <c r="G52" s="8">
        <f>IFERROR(IF(B52&lt;&gt;"",INDEX('직원 마스터'!B$2:B$31,MATCH(1,('직원 마스터'!A$2:A$31=B52)*('직원 마스터'!F$2:F$31&lt;=(YEAR(A52)*100+MONTH(A52)))*(('직원 마스터'!G$2:G$31="")+('직원 마스터'!G$2:G$31&gt;=(YEAR(A52)*100+MONTH(A52)))),0)),""),"")</f>
        <v/>
      </c>
      <c r="H52" s="2" t="n"/>
    </row>
    <row r="53">
      <c r="A53" s="5" t="n">
        <v>45750</v>
      </c>
      <c r="B53" s="2" t="inlineStr">
        <is>
          <t>장예원</t>
        </is>
      </c>
      <c r="C53" s="6" t="n">
        <v>0.5833333333333334</v>
      </c>
      <c r="D53" s="6" t="n">
        <v>0.7916666666666666</v>
      </c>
      <c r="E53" s="7">
        <f>IF(AND(C53&lt;&gt;"",D53&lt;&gt;""),D53-C53,0)</f>
        <v/>
      </c>
      <c r="F53" s="3" t="n">
        <v>60000</v>
      </c>
      <c r="G53" s="8">
        <f>IFERROR(IF(B53&lt;&gt;"",INDEX('직원 마스터'!B$2:B$31,MATCH(1,('직원 마스터'!A$2:A$31=B53)*('직원 마스터'!F$2:F$31&lt;=(YEAR(A53)*100+MONTH(A53)))*(('직원 마스터'!G$2:G$31="")+('직원 마스터'!G$2:G$31&gt;=(YEAR(A53)*100+MONTH(A53)))),0)),""),"")</f>
        <v/>
      </c>
      <c r="H53" s="2" t="n"/>
    </row>
    <row r="54">
      <c r="A54" s="5" t="n">
        <v>45754</v>
      </c>
      <c r="B54" s="2" t="inlineStr">
        <is>
          <t>고경민</t>
        </is>
      </c>
      <c r="C54" s="6" t="n">
        <v>0.5833333333333334</v>
      </c>
      <c r="D54" s="6" t="n">
        <v>0.7916666666666666</v>
      </c>
      <c r="E54" s="7">
        <f>IF(AND(C54&lt;&gt;"",D54&lt;&gt;""),D54-C54,0)</f>
        <v/>
      </c>
      <c r="F54" s="3" t="n">
        <v>60000</v>
      </c>
      <c r="G54" s="8">
        <f>IFERROR(IF(B54&lt;&gt;"",INDEX('직원 마스터'!B$2:B$31,MATCH(1,('직원 마스터'!A$2:A$31=B54)*('직원 마스터'!F$2:F$31&lt;=(YEAR(A54)*100+MONTH(A54)))*(('직원 마스터'!G$2:G$31="")+('직원 마스터'!G$2:G$31&gt;=(YEAR(A54)*100+MONTH(A54)))),0)),""),"")</f>
        <v/>
      </c>
      <c r="H54" s="2" t="n"/>
    </row>
    <row r="55">
      <c r="A55" s="5" t="n">
        <v>45755</v>
      </c>
      <c r="B55" s="2" t="inlineStr">
        <is>
          <t>고경민</t>
        </is>
      </c>
      <c r="C55" s="6" t="n">
        <v>0.5833333333333334</v>
      </c>
      <c r="D55" s="6" t="n">
        <v>0.7916666666666666</v>
      </c>
      <c r="E55" s="7">
        <f>IF(AND(C55&lt;&gt;"",D55&lt;&gt;""),D55-C55,0)</f>
        <v/>
      </c>
      <c r="F55" s="3" t="n">
        <v>60000</v>
      </c>
      <c r="G55" s="8">
        <f>IFERROR(IF(B55&lt;&gt;"",INDEX('직원 마스터'!B$2:B$31,MATCH(1,('직원 마스터'!A$2:A$31=B55)*('직원 마스터'!F$2:F$31&lt;=(YEAR(A55)*100+MONTH(A55)))*(('직원 마스터'!G$2:G$31="")+('직원 마스터'!G$2:G$31&gt;=(YEAR(A55)*100+MONTH(A55)))),0)),""),"")</f>
        <v/>
      </c>
      <c r="H55" s="2" t="n"/>
    </row>
    <row r="56">
      <c r="A56" s="5" t="n">
        <v>45756</v>
      </c>
      <c r="B56" s="2" t="inlineStr">
        <is>
          <t>고경민</t>
        </is>
      </c>
      <c r="C56" s="6" t="n">
        <v>0.5833333333333334</v>
      </c>
      <c r="D56" s="6" t="n">
        <v>0.7916666666666666</v>
      </c>
      <c r="E56" s="7">
        <f>IF(AND(C56&lt;&gt;"",D56&lt;&gt;""),D56-C56,0)</f>
        <v/>
      </c>
      <c r="F56" s="3" t="n">
        <v>60000</v>
      </c>
      <c r="G56" s="8">
        <f>IFERROR(IF(B56&lt;&gt;"",INDEX('직원 마스터'!B$2:B$31,MATCH(1,('직원 마스터'!A$2:A$31=B56)*('직원 마스터'!F$2:F$31&lt;=(YEAR(A56)*100+MONTH(A56)))*(('직원 마스터'!G$2:G$31="")+('직원 마스터'!G$2:G$31&gt;=(YEAR(A56)*100+MONTH(A56)))),0)),""),"")</f>
        <v/>
      </c>
      <c r="H56" s="2" t="n"/>
    </row>
    <row r="57">
      <c r="A57" s="5" t="n">
        <v>45757</v>
      </c>
      <c r="B57" s="2" t="inlineStr">
        <is>
          <t>장예원</t>
        </is>
      </c>
      <c r="C57" s="6" t="n">
        <v>0.5833333333333334</v>
      </c>
      <c r="D57" s="6" t="n">
        <v>0.7916666666666666</v>
      </c>
      <c r="E57" s="7">
        <f>IF(AND(C57&lt;&gt;"",D57&lt;&gt;""),D57-C57,0)</f>
        <v/>
      </c>
      <c r="F57" s="3" t="n">
        <v>60000</v>
      </c>
      <c r="G57" s="8">
        <f>IFERROR(IF(B57&lt;&gt;"",INDEX('직원 마스터'!B$2:B$31,MATCH(1,('직원 마스터'!A$2:A$31=B57)*('직원 마스터'!F$2:F$31&lt;=(YEAR(A57)*100+MONTH(A57)))*(('직원 마스터'!G$2:G$31="")+('직원 마스터'!G$2:G$31&gt;=(YEAR(A57)*100+MONTH(A57)))),0)),""),"")</f>
        <v/>
      </c>
      <c r="H57" s="2" t="n"/>
    </row>
    <row r="58">
      <c r="A58" s="5" t="n">
        <v>45758</v>
      </c>
      <c r="B58" s="2" t="inlineStr">
        <is>
          <t>장예원</t>
        </is>
      </c>
      <c r="C58" s="6" t="n">
        <v>0.5833333333333334</v>
      </c>
      <c r="D58" s="6" t="n">
        <v>0.7916666666666666</v>
      </c>
      <c r="E58" s="7">
        <f>IF(AND(C58&lt;&gt;"",D58&lt;&gt;""),D58-C58,0)</f>
        <v/>
      </c>
      <c r="F58" s="3" t="n">
        <v>60000</v>
      </c>
      <c r="G58" s="8">
        <f>IFERROR(IF(B58&lt;&gt;"",INDEX('직원 마스터'!B$2:B$31,MATCH(1,('직원 마스터'!A$2:A$31=B58)*('직원 마스터'!F$2:F$31&lt;=(YEAR(A58)*100+MONTH(A58)))*(('직원 마스터'!G$2:G$31="")+('직원 마스터'!G$2:G$31&gt;=(YEAR(A58)*100+MONTH(A58)))),0)),""),"")</f>
        <v/>
      </c>
      <c r="H58" s="2" t="n"/>
    </row>
    <row r="59">
      <c r="A59" s="5" t="n">
        <v>45759</v>
      </c>
      <c r="B59" s="2" t="inlineStr">
        <is>
          <t>장예원</t>
        </is>
      </c>
      <c r="C59" s="6" t="n">
        <v>0.4375</v>
      </c>
      <c r="D59" s="6" t="n">
        <v>0.6041666666666666</v>
      </c>
      <c r="E59" s="7">
        <f>IF(AND(C59&lt;&gt;"",D59&lt;&gt;""),D59-C59,0)</f>
        <v/>
      </c>
      <c r="F59" s="3" t="n">
        <v>48000</v>
      </c>
      <c r="G59" s="8">
        <f>IFERROR(IF(B59&lt;&gt;"",INDEX('직원 마스터'!B$2:B$31,MATCH(1,('직원 마스터'!A$2:A$31=B59)*('직원 마스터'!F$2:F$31&lt;=(YEAR(A59)*100+MONTH(A59)))*(('직원 마스터'!G$2:G$31="")+('직원 마스터'!G$2:G$31&gt;=(YEAR(A59)*100+MONTH(A59)))),0)),""),"")</f>
        <v/>
      </c>
      <c r="H59" s="2" t="n"/>
    </row>
    <row r="60">
      <c r="A60" s="5" t="n">
        <v>45761</v>
      </c>
      <c r="B60" s="2" t="inlineStr">
        <is>
          <t>고경민</t>
        </is>
      </c>
      <c r="C60" s="6" t="n">
        <v>0.5833333333333334</v>
      </c>
      <c r="D60" s="6" t="n">
        <v>0.7916666666666666</v>
      </c>
      <c r="E60" s="7">
        <f>IF(AND(C60&lt;&gt;"",D60&lt;&gt;""),D60-C60,0)</f>
        <v/>
      </c>
      <c r="F60" s="3" t="n">
        <v>60000</v>
      </c>
      <c r="G60" s="8">
        <f>IFERROR(IF(B60&lt;&gt;"",INDEX('직원 마스터'!B$2:B$31,MATCH(1,('직원 마스터'!A$2:A$31=B60)*('직원 마스터'!F$2:F$31&lt;=(YEAR(A60)*100+MONTH(A60)))*(('직원 마스터'!G$2:G$31="")+('직원 마스터'!G$2:G$31&gt;=(YEAR(A60)*100+MONTH(A60)))),0)),""),"")</f>
        <v/>
      </c>
      <c r="H60" s="2" t="n"/>
    </row>
    <row r="61">
      <c r="A61" s="5" t="n">
        <v>45762</v>
      </c>
      <c r="B61" s="2" t="inlineStr">
        <is>
          <t>고경민</t>
        </is>
      </c>
      <c r="C61" s="6" t="n">
        <v>0.5833333333333334</v>
      </c>
      <c r="D61" s="6" t="n">
        <v>0.7916666666666666</v>
      </c>
      <c r="E61" s="7">
        <f>IF(AND(C61&lt;&gt;"",D61&lt;&gt;""),D61-C61,0)</f>
        <v/>
      </c>
      <c r="F61" s="3" t="n">
        <v>60000</v>
      </c>
      <c r="G61" s="8">
        <f>IFERROR(IF(B61&lt;&gt;"",INDEX('직원 마스터'!B$2:B$31,MATCH(1,('직원 마스터'!A$2:A$31=B61)*('직원 마스터'!F$2:F$31&lt;=(YEAR(A61)*100+MONTH(A61)))*(('직원 마스터'!G$2:G$31="")+('직원 마스터'!G$2:G$31&gt;=(YEAR(A61)*100+MONTH(A61)))),0)),""),"")</f>
        <v/>
      </c>
      <c r="H61" s="2" t="n"/>
    </row>
    <row r="62">
      <c r="A62" s="5" t="n">
        <v>45763</v>
      </c>
      <c r="B62" s="2" t="inlineStr">
        <is>
          <t>고경민</t>
        </is>
      </c>
      <c r="C62" s="6" t="n">
        <v>0.5833333333333334</v>
      </c>
      <c r="D62" s="6" t="n">
        <v>0.7916666666666666</v>
      </c>
      <c r="E62" s="7">
        <f>IF(AND(C62&lt;&gt;"",D62&lt;&gt;""),D62-C62,0)</f>
        <v/>
      </c>
      <c r="F62" s="3" t="n">
        <v>60000</v>
      </c>
      <c r="G62" s="8">
        <f>IFERROR(IF(B62&lt;&gt;"",INDEX('직원 마스터'!B$2:B$31,MATCH(1,('직원 마스터'!A$2:A$31=B62)*('직원 마스터'!F$2:F$31&lt;=(YEAR(A62)*100+MONTH(A62)))*(('직원 마스터'!G$2:G$31="")+('직원 마스터'!G$2:G$31&gt;=(YEAR(A62)*100+MONTH(A62)))),0)),""),"")</f>
        <v/>
      </c>
      <c r="H62" s="2" t="n"/>
    </row>
    <row r="63">
      <c r="A63" s="5" t="n">
        <v>45764</v>
      </c>
      <c r="B63" s="2" t="inlineStr">
        <is>
          <t>장예원</t>
        </is>
      </c>
      <c r="C63" s="6" t="n">
        <v>0.5833333333333334</v>
      </c>
      <c r="D63" s="6" t="n">
        <v>0.7916666666666666</v>
      </c>
      <c r="E63" s="7">
        <f>IF(AND(C63&lt;&gt;"",D63&lt;&gt;""),D63-C63,0)</f>
        <v/>
      </c>
      <c r="F63" s="3" t="n">
        <v>60000</v>
      </c>
      <c r="G63" s="8">
        <f>IFERROR(IF(B63&lt;&gt;"",INDEX('직원 마스터'!B$2:B$31,MATCH(1,('직원 마스터'!A$2:A$31=B63)*('직원 마스터'!F$2:F$31&lt;=(YEAR(A63)*100+MONTH(A63)))*(('직원 마스터'!G$2:G$31="")+('직원 마스터'!G$2:G$31&gt;=(YEAR(A63)*100+MONTH(A63)))),0)),""),"")</f>
        <v/>
      </c>
      <c r="H63" s="2" t="n"/>
    </row>
    <row r="64">
      <c r="A64" s="5" t="n">
        <v>45765</v>
      </c>
      <c r="B64" s="2" t="inlineStr">
        <is>
          <t>장예원</t>
        </is>
      </c>
      <c r="C64" s="6" t="n">
        <v>0.5833333333333334</v>
      </c>
      <c r="D64" s="6" t="n">
        <v>0.7916666666666666</v>
      </c>
      <c r="E64" s="7">
        <f>IF(AND(C64&lt;&gt;"",D64&lt;&gt;""),D64-C64,0)</f>
        <v/>
      </c>
      <c r="F64" s="3" t="n">
        <v>60000</v>
      </c>
      <c r="G64" s="8">
        <f>IFERROR(IF(B64&lt;&gt;"",INDEX('직원 마스터'!B$2:B$31,MATCH(1,('직원 마스터'!A$2:A$31=B64)*('직원 마스터'!F$2:F$31&lt;=(YEAR(A64)*100+MONTH(A64)))*(('직원 마스터'!G$2:G$31="")+('직원 마스터'!G$2:G$31&gt;=(YEAR(A64)*100+MONTH(A64)))),0)),""),"")</f>
        <v/>
      </c>
      <c r="H64" s="2" t="n"/>
    </row>
    <row r="65">
      <c r="A65" s="5" t="n">
        <v>45766</v>
      </c>
      <c r="B65" s="2" t="inlineStr">
        <is>
          <t>장예원</t>
        </is>
      </c>
      <c r="C65" s="6" t="n">
        <v>0.4375</v>
      </c>
      <c r="D65" s="6" t="n">
        <v>0.6041666666666666</v>
      </c>
      <c r="E65" s="7">
        <f>IF(AND(C65&lt;&gt;"",D65&lt;&gt;""),D65-C65,0)</f>
        <v/>
      </c>
      <c r="F65" s="3" t="n">
        <v>48000</v>
      </c>
      <c r="G65" s="8">
        <f>IFERROR(IF(B65&lt;&gt;"",INDEX('직원 마스터'!B$2:B$31,MATCH(1,('직원 마스터'!A$2:A$31=B65)*('직원 마스터'!F$2:F$31&lt;=(YEAR(A65)*100+MONTH(A65)))*(('직원 마스터'!G$2:G$31="")+('직원 마스터'!G$2:G$31&gt;=(YEAR(A65)*100+MONTH(A65)))),0)),""),"")</f>
        <v/>
      </c>
      <c r="H65" s="2" t="n"/>
    </row>
    <row r="66">
      <c r="A66" s="5" t="n">
        <v>45768</v>
      </c>
      <c r="B66" s="2" t="inlineStr">
        <is>
          <t>장예원</t>
        </is>
      </c>
      <c r="C66" s="6" t="n">
        <v>0.6041666666666666</v>
      </c>
      <c r="D66" s="6" t="n">
        <v>0.7708333333333334</v>
      </c>
      <c r="E66" s="7">
        <f>IF(AND(C66&lt;&gt;"",D66&lt;&gt;""),D66-C66,0)</f>
        <v/>
      </c>
      <c r="F66" s="3" t="n">
        <v>48000</v>
      </c>
      <c r="G66" s="8">
        <f>IFERROR(IF(B66&lt;&gt;"",INDEX('직원 마스터'!B$2:B$31,MATCH(1,('직원 마스터'!A$2:A$31=B66)*('직원 마스터'!F$2:F$31&lt;=(YEAR(A66)*100+MONTH(A66)))*(('직원 마스터'!G$2:G$31="")+('직원 마스터'!G$2:G$31&gt;=(YEAR(A66)*100+MONTH(A66)))),0)),""),"")</f>
        <v/>
      </c>
      <c r="H66" s="2" t="n"/>
    </row>
    <row r="67">
      <c r="A67" s="5" t="n">
        <v>45769</v>
      </c>
      <c r="B67" s="2" t="inlineStr">
        <is>
          <t>고경민</t>
        </is>
      </c>
      <c r="C67" s="6" t="n">
        <v>0.5833333333333334</v>
      </c>
      <c r="D67" s="6" t="n">
        <v>0.7916666666666666</v>
      </c>
      <c r="E67" s="7">
        <f>IF(AND(C67&lt;&gt;"",D67&lt;&gt;""),D67-C67,0)</f>
        <v/>
      </c>
      <c r="F67" s="3" t="n">
        <v>60000</v>
      </c>
      <c r="G67" s="8">
        <f>IFERROR(IF(B67&lt;&gt;"",INDEX('직원 마스터'!B$2:B$31,MATCH(1,('직원 마스터'!A$2:A$31=B67)*('직원 마스터'!F$2:F$31&lt;=(YEAR(A67)*100+MONTH(A67)))*(('직원 마스터'!G$2:G$31="")+('직원 마스터'!G$2:G$31&gt;=(YEAR(A67)*100+MONTH(A67)))),0)),""),"")</f>
        <v/>
      </c>
      <c r="H67" s="2" t="n"/>
    </row>
    <row r="68">
      <c r="A68" s="5" t="n">
        <v>45770</v>
      </c>
      <c r="B68" s="2" t="inlineStr">
        <is>
          <t>고경민</t>
        </is>
      </c>
      <c r="C68" s="6" t="n">
        <v>0.5833333333333334</v>
      </c>
      <c r="D68" s="6" t="n">
        <v>0.7916666666666666</v>
      </c>
      <c r="E68" s="7">
        <f>IF(AND(C68&lt;&gt;"",D68&lt;&gt;""),D68-C68,0)</f>
        <v/>
      </c>
      <c r="F68" s="3" t="n">
        <v>60000</v>
      </c>
      <c r="G68" s="8">
        <f>IFERROR(IF(B68&lt;&gt;"",INDEX('직원 마스터'!B$2:B$31,MATCH(1,('직원 마스터'!A$2:A$31=B68)*('직원 마스터'!F$2:F$31&lt;=(YEAR(A68)*100+MONTH(A68)))*(('직원 마스터'!G$2:G$31="")+('직원 마스터'!G$2:G$31&gt;=(YEAR(A68)*100+MONTH(A68)))),0)),""),"")</f>
        <v/>
      </c>
      <c r="H68" s="2" t="n"/>
    </row>
    <row r="69">
      <c r="A69" s="5" t="n">
        <v>45771</v>
      </c>
      <c r="B69" s="2" t="inlineStr">
        <is>
          <t>고경민</t>
        </is>
      </c>
      <c r="C69" s="6" t="n">
        <v>0.5833333333333334</v>
      </c>
      <c r="D69" s="6" t="n">
        <v>0.7916666666666666</v>
      </c>
      <c r="E69" s="7">
        <f>IF(AND(C69&lt;&gt;"",D69&lt;&gt;""),D69-C69,0)</f>
        <v/>
      </c>
      <c r="F69" s="3" t="n">
        <v>60000</v>
      </c>
      <c r="G69" s="8">
        <f>IFERROR(IF(B69&lt;&gt;"",INDEX('직원 마스터'!B$2:B$31,MATCH(1,('직원 마스터'!A$2:A$31=B69)*('직원 마스터'!F$2:F$31&lt;=(YEAR(A69)*100+MONTH(A69)))*(('직원 마스터'!G$2:G$31="")+('직원 마스터'!G$2:G$31&gt;=(YEAR(A69)*100+MONTH(A69)))),0)),""),"")</f>
        <v/>
      </c>
      <c r="H69" s="2" t="n"/>
    </row>
    <row r="70">
      <c r="A70" s="5" t="n">
        <v>45772</v>
      </c>
      <c r="B70" s="2" t="inlineStr">
        <is>
          <t>장예원</t>
        </is>
      </c>
      <c r="C70" s="6" t="n">
        <v>0.5833333333333334</v>
      </c>
      <c r="D70" s="6" t="n">
        <v>0.7916666666666666</v>
      </c>
      <c r="E70" s="7">
        <f>IF(AND(C70&lt;&gt;"",D70&lt;&gt;""),D70-C70,0)</f>
        <v/>
      </c>
      <c r="F70" s="3" t="n">
        <v>60000</v>
      </c>
      <c r="G70" s="8">
        <f>IFERROR(IF(B70&lt;&gt;"",INDEX('직원 마스터'!B$2:B$31,MATCH(1,('직원 마스터'!A$2:A$31=B70)*('직원 마스터'!F$2:F$31&lt;=(YEAR(A70)*100+MONTH(A70)))*(('직원 마스터'!G$2:G$31="")+('직원 마스터'!G$2:G$31&gt;=(YEAR(A70)*100+MONTH(A70)))),0)),""),"")</f>
        <v/>
      </c>
      <c r="H70" s="2" t="n"/>
    </row>
    <row r="71">
      <c r="A71" s="5" t="n">
        <v>45773</v>
      </c>
      <c r="B71" s="2" t="inlineStr">
        <is>
          <t>장예원</t>
        </is>
      </c>
      <c r="C71" s="6" t="n">
        <v>0.4375</v>
      </c>
      <c r="D71" s="6" t="n">
        <v>0.5625</v>
      </c>
      <c r="E71" s="7">
        <f>IF(AND(C71&lt;&gt;"",D71&lt;&gt;""),D71-C71,0)</f>
        <v/>
      </c>
      <c r="F71" s="3" t="n">
        <v>36000</v>
      </c>
      <c r="G71" s="8">
        <f>IFERROR(IF(B71&lt;&gt;"",INDEX('직원 마스터'!B$2:B$31,MATCH(1,('직원 마스터'!A$2:A$31=B71)*('직원 마스터'!F$2:F$31&lt;=(YEAR(A71)*100+MONTH(A71)))*(('직원 마스터'!G$2:G$31="")+('직원 마스터'!G$2:G$31&gt;=(YEAR(A71)*100+MONTH(A71)))),0)),""),"")</f>
        <v/>
      </c>
      <c r="H71" s="2" t="n"/>
    </row>
    <row r="72">
      <c r="A72" s="5" t="n">
        <v>45775</v>
      </c>
      <c r="B72" s="2" t="inlineStr">
        <is>
          <t>고경민</t>
        </is>
      </c>
      <c r="C72" s="6" t="n">
        <v>0.5833333333333334</v>
      </c>
      <c r="D72" s="6" t="n">
        <v>0.7916666666666666</v>
      </c>
      <c r="E72" s="7">
        <f>IF(AND(C72&lt;&gt;"",D72&lt;&gt;""),D72-C72,0)</f>
        <v/>
      </c>
      <c r="F72" s="3" t="n">
        <v>60000</v>
      </c>
      <c r="G72" s="8">
        <f>IFERROR(IF(B72&lt;&gt;"",INDEX('직원 마스터'!B$2:B$31,MATCH(1,('직원 마스터'!A$2:A$31=B72)*('직원 마스터'!F$2:F$31&lt;=(YEAR(A72)*100+MONTH(A72)))*(('직원 마스터'!G$2:G$31="")+('직원 마스터'!G$2:G$31&gt;=(YEAR(A72)*100+MONTH(A72)))),0)),""),"")</f>
        <v/>
      </c>
      <c r="H72" s="2" t="n"/>
    </row>
    <row r="73">
      <c r="A73" s="5" t="n">
        <v>45776</v>
      </c>
      <c r="B73" s="2" t="inlineStr">
        <is>
          <t>고경민</t>
        </is>
      </c>
      <c r="C73" s="6" t="n">
        <v>0.5833333333333334</v>
      </c>
      <c r="D73" s="6" t="n">
        <v>0.7916666666666666</v>
      </c>
      <c r="E73" s="7">
        <f>IF(AND(C73&lt;&gt;"",D73&lt;&gt;""),D73-C73,0)</f>
        <v/>
      </c>
      <c r="F73" s="3" t="n">
        <v>60000</v>
      </c>
      <c r="G73" s="8">
        <f>IFERROR(IF(B73&lt;&gt;"",INDEX('직원 마스터'!B$2:B$31,MATCH(1,('직원 마스터'!A$2:A$31=B73)*('직원 마스터'!F$2:F$31&lt;=(YEAR(A73)*100+MONTH(A73)))*(('직원 마스터'!G$2:G$31="")+('직원 마스터'!G$2:G$31&gt;=(YEAR(A73)*100+MONTH(A73)))),0)),""),"")</f>
        <v/>
      </c>
      <c r="H73" s="2" t="n"/>
    </row>
    <row r="74">
      <c r="A74" s="5" t="n">
        <v>45777</v>
      </c>
      <c r="B74" s="2" t="inlineStr">
        <is>
          <t>고경민</t>
        </is>
      </c>
      <c r="C74" s="6" t="n">
        <v>0.5833333333333334</v>
      </c>
      <c r="D74" s="6" t="n">
        <v>0.7916666666666666</v>
      </c>
      <c r="E74" s="7">
        <f>IF(AND(C74&lt;&gt;"",D74&lt;&gt;""),D74-C74,0)</f>
        <v/>
      </c>
      <c r="F74" s="3" t="n">
        <v>60000</v>
      </c>
      <c r="G74" s="8">
        <f>IFERROR(IF(B74&lt;&gt;"",INDEX('직원 마스터'!B$2:B$31,MATCH(1,('직원 마스터'!A$2:A$31=B74)*('직원 마스터'!F$2:F$31&lt;=(YEAR(A74)*100+MONTH(A74)))*(('직원 마스터'!G$2:G$31="")+('직원 마스터'!G$2:G$31&gt;=(YEAR(A74)*100+MONTH(A74)))),0)),""),"")</f>
        <v/>
      </c>
      <c r="H74" s="2" t="n"/>
    </row>
    <row r="75">
      <c r="A75" s="5" t="n">
        <v>45778</v>
      </c>
      <c r="B75" s="2" t="inlineStr">
        <is>
          <t>장예원</t>
        </is>
      </c>
      <c r="C75" s="6" t="n">
        <v>0.5833333333333334</v>
      </c>
      <c r="D75" s="6" t="n">
        <v>0.7916666666666666</v>
      </c>
      <c r="E75" s="7">
        <f>IF(AND(C75&lt;&gt;"",D75&lt;&gt;""),D75-C75,0)</f>
        <v/>
      </c>
      <c r="F75" s="3" t="n">
        <v>60000</v>
      </c>
      <c r="G75" s="8">
        <f>IFERROR(IF(B75&lt;&gt;"",INDEX('직원 마스터'!B$2:B$31,MATCH(1,('직원 마스터'!A$2:A$31=B75)*('직원 마스터'!F$2:F$31&lt;=(YEAR(A75)*100+MONTH(A75)))*(('직원 마스터'!G$2:G$31="")+('직원 마스터'!G$2:G$31&gt;=(YEAR(A75)*100+MONTH(A75)))),0)),""),"")</f>
        <v/>
      </c>
      <c r="H75" s="2" t="n"/>
    </row>
    <row r="76">
      <c r="A76" s="5" t="n">
        <v>45779</v>
      </c>
      <c r="B76" s="2" t="inlineStr">
        <is>
          <t>장예원</t>
        </is>
      </c>
      <c r="C76" s="6" t="n">
        <v>0.5833333333333334</v>
      </c>
      <c r="D76" s="6" t="n">
        <v>0.7916666666666666</v>
      </c>
      <c r="E76" s="7">
        <f>IF(AND(C76&lt;&gt;"",D76&lt;&gt;""),D76-C76,0)</f>
        <v/>
      </c>
      <c r="F76" s="3" t="n">
        <v>60000</v>
      </c>
      <c r="G76" s="8">
        <f>IFERROR(IF(B76&lt;&gt;"",INDEX('직원 마스터'!B$2:B$31,MATCH(1,('직원 마스터'!A$2:A$31=B76)*('직원 마스터'!F$2:F$31&lt;=(YEAR(A76)*100+MONTH(A76)))*(('직원 마스터'!G$2:G$31="")+('직원 마스터'!G$2:G$31&gt;=(YEAR(A76)*100+MONTH(A76)))),0)),""),"")</f>
        <v/>
      </c>
      <c r="H76" s="2" t="n"/>
    </row>
    <row r="77">
      <c r="A77" s="5" t="n">
        <v>45780</v>
      </c>
      <c r="B77" s="2" t="inlineStr">
        <is>
          <t>장예원</t>
        </is>
      </c>
      <c r="C77" s="6" t="n">
        <v>0.4375</v>
      </c>
      <c r="D77" s="6" t="n">
        <v>0.6041666666666666</v>
      </c>
      <c r="E77" s="7">
        <f>IF(AND(C77&lt;&gt;"",D77&lt;&gt;""),D77-C77,0)</f>
        <v/>
      </c>
      <c r="F77" s="3" t="n">
        <v>48000</v>
      </c>
      <c r="G77" s="8">
        <f>IFERROR(IF(B77&lt;&gt;"",INDEX('직원 마스터'!B$2:B$31,MATCH(1,('직원 마스터'!A$2:A$31=B77)*('직원 마스터'!F$2:F$31&lt;=(YEAR(A77)*100+MONTH(A77)))*(('직원 마스터'!G$2:G$31="")+('직원 마스터'!G$2:G$31&gt;=(YEAR(A77)*100+MONTH(A77)))),0)),""),"")</f>
        <v/>
      </c>
      <c r="H77" s="2" t="n"/>
    </row>
    <row r="78">
      <c r="A78" s="5" t="n">
        <v>45784</v>
      </c>
      <c r="B78" s="2" t="inlineStr">
        <is>
          <t>고경민</t>
        </is>
      </c>
      <c r="C78" s="6" t="n">
        <v>0.5833333333333334</v>
      </c>
      <c r="D78" s="6" t="n">
        <v>0.7916666666666666</v>
      </c>
      <c r="E78" s="7">
        <f>IF(AND(C78&lt;&gt;"",D78&lt;&gt;""),D78-C78,0)</f>
        <v/>
      </c>
      <c r="F78" s="3" t="n">
        <v>60000</v>
      </c>
      <c r="G78" s="8">
        <f>IFERROR(IF(B78&lt;&gt;"",INDEX('직원 마스터'!B$2:B$31,MATCH(1,('직원 마스터'!A$2:A$31=B78)*('직원 마스터'!F$2:F$31&lt;=(YEAR(A78)*100+MONTH(A78)))*(('직원 마스터'!G$2:G$31="")+('직원 마스터'!G$2:G$31&gt;=(YEAR(A78)*100+MONTH(A78)))),0)),""),"")</f>
        <v/>
      </c>
      <c r="H78" s="2" t="n"/>
    </row>
    <row r="79">
      <c r="A79" s="5" t="n">
        <v>45785</v>
      </c>
      <c r="B79" s="2" t="inlineStr">
        <is>
          <t>장예원</t>
        </is>
      </c>
      <c r="C79" s="6" t="n">
        <v>0.5833333333333334</v>
      </c>
      <c r="D79" s="6" t="n">
        <v>0.7916666666666666</v>
      </c>
      <c r="E79" s="7">
        <f>IF(AND(C79&lt;&gt;"",D79&lt;&gt;""),D79-C79,0)</f>
        <v/>
      </c>
      <c r="F79" s="3" t="n">
        <v>60000</v>
      </c>
      <c r="G79" s="8">
        <f>IFERROR(IF(B79&lt;&gt;"",INDEX('직원 마스터'!B$2:B$31,MATCH(1,('직원 마스터'!A$2:A$31=B79)*('직원 마스터'!F$2:F$31&lt;=(YEAR(A79)*100+MONTH(A79)))*(('직원 마스터'!G$2:G$31="")+('직원 마스터'!G$2:G$31&gt;=(YEAR(A79)*100+MONTH(A79)))),0)),""),"")</f>
        <v/>
      </c>
      <c r="H79" s="2" t="n"/>
    </row>
    <row r="80">
      <c r="A80" s="5" t="n">
        <v>45786</v>
      </c>
      <c r="B80" s="2" t="inlineStr">
        <is>
          <t>장예원</t>
        </is>
      </c>
      <c r="C80" s="6" t="n">
        <v>0.5833333333333334</v>
      </c>
      <c r="D80" s="6" t="n">
        <v>0.7916666666666666</v>
      </c>
      <c r="E80" s="7">
        <f>IF(AND(C80&lt;&gt;"",D80&lt;&gt;""),D80-C80,0)</f>
        <v/>
      </c>
      <c r="F80" s="3" t="n">
        <v>60000</v>
      </c>
      <c r="G80" s="8">
        <f>IFERROR(IF(B80&lt;&gt;"",INDEX('직원 마스터'!B$2:B$31,MATCH(1,('직원 마스터'!A$2:A$31=B80)*('직원 마스터'!F$2:F$31&lt;=(YEAR(A80)*100+MONTH(A80)))*(('직원 마스터'!G$2:G$31="")+('직원 마스터'!G$2:G$31&gt;=(YEAR(A80)*100+MONTH(A80)))),0)),""),"")</f>
        <v/>
      </c>
      <c r="H80" s="2" t="n"/>
    </row>
    <row r="81">
      <c r="A81" s="5" t="n">
        <v>45787</v>
      </c>
      <c r="B81" s="2" t="inlineStr">
        <is>
          <t>장예원</t>
        </is>
      </c>
      <c r="C81" s="6" t="n">
        <v>0.4375</v>
      </c>
      <c r="D81" s="6" t="n">
        <v>0.6041666666666666</v>
      </c>
      <c r="E81" s="7">
        <f>IF(AND(C81&lt;&gt;"",D81&lt;&gt;""),D81-C81,0)</f>
        <v/>
      </c>
      <c r="F81" s="3" t="n">
        <v>48000</v>
      </c>
      <c r="G81" s="8">
        <f>IFERROR(IF(B81&lt;&gt;"",INDEX('직원 마스터'!B$2:B$31,MATCH(1,('직원 마스터'!A$2:A$31=B81)*('직원 마스터'!F$2:F$31&lt;=(YEAR(A81)*100+MONTH(A81)))*(('직원 마스터'!G$2:G$31="")+('직원 마스터'!G$2:G$31&gt;=(YEAR(A81)*100+MONTH(A81)))),0)),""),"")</f>
        <v/>
      </c>
      <c r="H81" s="2" t="n"/>
    </row>
    <row r="82">
      <c r="A82" s="5" t="n">
        <v>45789</v>
      </c>
      <c r="B82" s="2" t="inlineStr">
        <is>
          <t>고경민</t>
        </is>
      </c>
      <c r="C82" s="6" t="n">
        <v>0.5833333333333334</v>
      </c>
      <c r="D82" s="6" t="n">
        <v>0.7916666666666666</v>
      </c>
      <c r="E82" s="7">
        <f>IF(AND(C82&lt;&gt;"",D82&lt;&gt;""),D82-C82,0)</f>
        <v/>
      </c>
      <c r="F82" s="3" t="n">
        <v>60000</v>
      </c>
      <c r="G82" s="8">
        <f>IFERROR(IF(B82&lt;&gt;"",INDEX('직원 마스터'!B$2:B$31,MATCH(1,('직원 마스터'!A$2:A$31=B82)*('직원 마스터'!F$2:F$31&lt;=(YEAR(A82)*100+MONTH(A82)))*(('직원 마스터'!G$2:G$31="")+('직원 마스터'!G$2:G$31&gt;=(YEAR(A82)*100+MONTH(A82)))),0)),""),"")</f>
        <v/>
      </c>
      <c r="H82" s="2" t="n"/>
    </row>
    <row r="83">
      <c r="A83" s="5" t="n">
        <v>45790</v>
      </c>
      <c r="B83" s="2" t="inlineStr">
        <is>
          <t>고경민</t>
        </is>
      </c>
      <c r="C83" s="6" t="n">
        <v>0.5833333333333334</v>
      </c>
      <c r="D83" s="6" t="n">
        <v>0.7916666666666666</v>
      </c>
      <c r="E83" s="7">
        <f>IF(AND(C83&lt;&gt;"",D83&lt;&gt;""),D83-C83,0)</f>
        <v/>
      </c>
      <c r="F83" s="3" t="n">
        <v>60000</v>
      </c>
      <c r="G83" s="8">
        <f>IFERROR(IF(B83&lt;&gt;"",INDEX('직원 마스터'!B$2:B$31,MATCH(1,('직원 마스터'!A$2:A$31=B83)*('직원 마스터'!F$2:F$31&lt;=(YEAR(A83)*100+MONTH(A83)))*(('직원 마스터'!G$2:G$31="")+('직원 마스터'!G$2:G$31&gt;=(YEAR(A83)*100+MONTH(A83)))),0)),""),"")</f>
        <v/>
      </c>
      <c r="H83" s="2" t="n"/>
    </row>
    <row r="84">
      <c r="A84" s="5" t="n">
        <v>45791</v>
      </c>
      <c r="B84" s="2" t="inlineStr">
        <is>
          <t>고경민</t>
        </is>
      </c>
      <c r="C84" s="6" t="n">
        <v>0.5833333333333334</v>
      </c>
      <c r="D84" s="6" t="n">
        <v>0.7916666666666666</v>
      </c>
      <c r="E84" s="7">
        <f>IF(AND(C84&lt;&gt;"",D84&lt;&gt;""),D84-C84,0)</f>
        <v/>
      </c>
      <c r="F84" s="3" t="n">
        <v>60000</v>
      </c>
      <c r="G84" s="8">
        <f>IFERROR(IF(B84&lt;&gt;"",INDEX('직원 마스터'!B$2:B$31,MATCH(1,('직원 마스터'!A$2:A$31=B84)*('직원 마스터'!F$2:F$31&lt;=(YEAR(A84)*100+MONTH(A84)))*(('직원 마스터'!G$2:G$31="")+('직원 마스터'!G$2:G$31&gt;=(YEAR(A84)*100+MONTH(A84)))),0)),""),"")</f>
        <v/>
      </c>
      <c r="H84" s="2" t="n"/>
    </row>
    <row r="85">
      <c r="A85" s="5" t="n">
        <v>45792</v>
      </c>
      <c r="B85" s="2" t="inlineStr">
        <is>
          <t>장예원</t>
        </is>
      </c>
      <c r="C85" s="6" t="n">
        <v>0.5833333333333334</v>
      </c>
      <c r="D85" s="6" t="n">
        <v>0.7916666666666666</v>
      </c>
      <c r="E85" s="7">
        <f>IF(AND(C85&lt;&gt;"",D85&lt;&gt;""),D85-C85,0)</f>
        <v/>
      </c>
      <c r="F85" s="3" t="n">
        <v>60000</v>
      </c>
      <c r="G85" s="8">
        <f>IFERROR(IF(B85&lt;&gt;"",INDEX('직원 마스터'!B$2:B$31,MATCH(1,('직원 마스터'!A$2:A$31=B85)*('직원 마스터'!F$2:F$31&lt;=(YEAR(A85)*100+MONTH(A85)))*(('직원 마스터'!G$2:G$31="")+('직원 마스터'!G$2:G$31&gt;=(YEAR(A85)*100+MONTH(A85)))),0)),""),"")</f>
        <v/>
      </c>
      <c r="H85" s="2" t="n"/>
    </row>
    <row r="86">
      <c r="A86" s="5" t="n">
        <v>45793</v>
      </c>
      <c r="B86" s="2" t="inlineStr">
        <is>
          <t>장예원</t>
        </is>
      </c>
      <c r="C86" s="6" t="n">
        <v>0.5833333333333334</v>
      </c>
      <c r="D86" s="6" t="n">
        <v>0.7916666666666666</v>
      </c>
      <c r="E86" s="7">
        <f>IF(AND(C86&lt;&gt;"",D86&lt;&gt;""),D86-C86,0)</f>
        <v/>
      </c>
      <c r="F86" s="3" t="n">
        <v>60000</v>
      </c>
      <c r="G86" s="8">
        <f>IFERROR(IF(B86&lt;&gt;"",INDEX('직원 마스터'!B$2:B$31,MATCH(1,('직원 마스터'!A$2:A$31=B86)*('직원 마스터'!F$2:F$31&lt;=(YEAR(A86)*100+MONTH(A86)))*(('직원 마스터'!G$2:G$31="")+('직원 마스터'!G$2:G$31&gt;=(YEAR(A86)*100+MONTH(A86)))),0)),""),"")</f>
        <v/>
      </c>
      <c r="H86" s="2" t="n"/>
    </row>
    <row r="87">
      <c r="A87" s="5" t="n">
        <v>45794</v>
      </c>
      <c r="B87" s="2" t="inlineStr">
        <is>
          <t>장예원</t>
        </is>
      </c>
      <c r="C87" s="6" t="n">
        <v>0.4375</v>
      </c>
      <c r="D87" s="6" t="n">
        <v>0.6041666666666666</v>
      </c>
      <c r="E87" s="7">
        <f>IF(AND(C87&lt;&gt;"",D87&lt;&gt;""),D87-C87,0)</f>
        <v/>
      </c>
      <c r="F87" s="3" t="n">
        <v>48000</v>
      </c>
      <c r="G87" s="8">
        <f>IFERROR(IF(B87&lt;&gt;"",INDEX('직원 마스터'!B$2:B$31,MATCH(1,('직원 마스터'!A$2:A$31=B87)*('직원 마스터'!F$2:F$31&lt;=(YEAR(A87)*100+MONTH(A87)))*(('직원 마스터'!G$2:G$31="")+('직원 마스터'!G$2:G$31&gt;=(YEAR(A87)*100+MONTH(A87)))),0)),""),"")</f>
        <v/>
      </c>
      <c r="H87" s="2" t="n"/>
    </row>
    <row r="88">
      <c r="A88" s="5" t="n">
        <v>45796</v>
      </c>
      <c r="B88" s="2" t="inlineStr">
        <is>
          <t>고경민</t>
        </is>
      </c>
      <c r="C88" s="6" t="n">
        <v>0.5833333333333334</v>
      </c>
      <c r="D88" s="6" t="n">
        <v>0.7916666666666666</v>
      </c>
      <c r="E88" s="7">
        <f>IF(AND(C88&lt;&gt;"",D88&lt;&gt;""),D88-C88,0)</f>
        <v/>
      </c>
      <c r="F88" s="3" t="n">
        <v>60000</v>
      </c>
      <c r="G88" s="8">
        <f>IFERROR(IF(B88&lt;&gt;"",INDEX('직원 마스터'!B$2:B$31,MATCH(1,('직원 마스터'!A$2:A$31=B88)*('직원 마스터'!F$2:F$31&lt;=(YEAR(A88)*100+MONTH(A88)))*(('직원 마스터'!G$2:G$31="")+('직원 마스터'!G$2:G$31&gt;=(YEAR(A88)*100+MONTH(A88)))),0)),""),"")</f>
        <v/>
      </c>
      <c r="H88" s="2" t="n"/>
    </row>
    <row r="89">
      <c r="A89" s="5" t="n">
        <v>45797</v>
      </c>
      <c r="B89" s="2" t="inlineStr">
        <is>
          <t>고경민</t>
        </is>
      </c>
      <c r="C89" s="6" t="n">
        <v>0.5833333333333334</v>
      </c>
      <c r="D89" s="6" t="n">
        <v>0.7916666666666666</v>
      </c>
      <c r="E89" s="7">
        <f>IF(AND(C89&lt;&gt;"",D89&lt;&gt;""),D89-C89,0)</f>
        <v/>
      </c>
      <c r="F89" s="3" t="n">
        <v>60000</v>
      </c>
      <c r="G89" s="8">
        <f>IFERROR(IF(B89&lt;&gt;"",INDEX('직원 마스터'!B$2:B$31,MATCH(1,('직원 마스터'!A$2:A$31=B89)*('직원 마스터'!F$2:F$31&lt;=(YEAR(A89)*100+MONTH(A89)))*(('직원 마스터'!G$2:G$31="")+('직원 마스터'!G$2:G$31&gt;=(YEAR(A89)*100+MONTH(A89)))),0)),""),"")</f>
        <v/>
      </c>
      <c r="H89" s="2" t="n"/>
    </row>
    <row r="90">
      <c r="A90" s="5" t="n">
        <v>45798</v>
      </c>
      <c r="B90" s="2" t="inlineStr">
        <is>
          <t>고경민</t>
        </is>
      </c>
      <c r="C90" s="6" t="n">
        <v>0.5833333333333334</v>
      </c>
      <c r="D90" s="6" t="n">
        <v>0.7916666666666666</v>
      </c>
      <c r="E90" s="7">
        <f>IF(AND(C90&lt;&gt;"",D90&lt;&gt;""),D90-C90,0)</f>
        <v/>
      </c>
      <c r="F90" s="3" t="n">
        <v>60000</v>
      </c>
      <c r="G90" s="8">
        <f>IFERROR(IF(B90&lt;&gt;"",INDEX('직원 마스터'!B$2:B$31,MATCH(1,('직원 마스터'!A$2:A$31=B90)*('직원 마스터'!F$2:F$31&lt;=(YEAR(A90)*100+MONTH(A90)))*(('직원 마스터'!G$2:G$31="")+('직원 마스터'!G$2:G$31&gt;=(YEAR(A90)*100+MONTH(A90)))),0)),""),"")</f>
        <v/>
      </c>
      <c r="H90" s="2" t="n"/>
    </row>
    <row r="91">
      <c r="A91" s="5" t="n">
        <v>45799</v>
      </c>
      <c r="B91" s="2" t="inlineStr">
        <is>
          <t>장예원</t>
        </is>
      </c>
      <c r="C91" s="6" t="n">
        <v>0.5833333333333334</v>
      </c>
      <c r="D91" s="6" t="n">
        <v>0.7916666666666666</v>
      </c>
      <c r="E91" s="7">
        <f>IF(AND(C91&lt;&gt;"",D91&lt;&gt;""),D91-C91,0)</f>
        <v/>
      </c>
      <c r="F91" s="3" t="n">
        <v>60000</v>
      </c>
      <c r="G91" s="8">
        <f>IFERROR(IF(B91&lt;&gt;"",INDEX('직원 마스터'!B$2:B$31,MATCH(1,('직원 마스터'!A$2:A$31=B91)*('직원 마스터'!F$2:F$31&lt;=(YEAR(A91)*100+MONTH(A91)))*(('직원 마스터'!G$2:G$31="")+('직원 마스터'!G$2:G$31&gt;=(YEAR(A91)*100+MONTH(A91)))),0)),""),"")</f>
        <v/>
      </c>
      <c r="H91" s="2" t="n"/>
    </row>
    <row r="92">
      <c r="A92" s="5" t="n">
        <v>45800</v>
      </c>
      <c r="B92" s="2" t="inlineStr">
        <is>
          <t>장예원</t>
        </is>
      </c>
      <c r="C92" s="6" t="n">
        <v>0.5833333333333334</v>
      </c>
      <c r="D92" s="6" t="n">
        <v>0.7916666666666666</v>
      </c>
      <c r="E92" s="7">
        <f>IF(AND(C92&lt;&gt;"",D92&lt;&gt;""),D92-C92,0)</f>
        <v/>
      </c>
      <c r="F92" s="3" t="n">
        <v>60000</v>
      </c>
      <c r="G92" s="8">
        <f>IFERROR(IF(B92&lt;&gt;"",INDEX('직원 마스터'!B$2:B$31,MATCH(1,('직원 마스터'!A$2:A$31=B92)*('직원 마스터'!F$2:F$31&lt;=(YEAR(A92)*100+MONTH(A92)))*(('직원 마스터'!G$2:G$31="")+('직원 마스터'!G$2:G$31&gt;=(YEAR(A92)*100+MONTH(A92)))),0)),""),"")</f>
        <v/>
      </c>
      <c r="H92" s="2" t="n"/>
    </row>
    <row r="93">
      <c r="A93" s="5" t="n">
        <v>45801</v>
      </c>
      <c r="B93" s="2" t="inlineStr">
        <is>
          <t>장예원</t>
        </is>
      </c>
      <c r="C93" s="6" t="n">
        <v>0.4375</v>
      </c>
      <c r="D93" s="6" t="n">
        <v>0.6041666666666666</v>
      </c>
      <c r="E93" s="7">
        <f>IF(AND(C93&lt;&gt;"",D93&lt;&gt;""),D93-C93,0)</f>
        <v/>
      </c>
      <c r="F93" s="3" t="n">
        <v>48000</v>
      </c>
      <c r="G93" s="8">
        <f>IFERROR(IF(B93&lt;&gt;"",INDEX('직원 마스터'!B$2:B$31,MATCH(1,('직원 마스터'!A$2:A$31=B93)*('직원 마스터'!F$2:F$31&lt;=(YEAR(A93)*100+MONTH(A93)))*(('직원 마스터'!G$2:G$31="")+('직원 마스터'!G$2:G$31&gt;=(YEAR(A93)*100+MONTH(A93)))),0)),""),"")</f>
        <v/>
      </c>
      <c r="H93" s="2" t="n"/>
    </row>
    <row r="94">
      <c r="A94" s="5" t="n">
        <v>45803</v>
      </c>
      <c r="B94" s="2" t="inlineStr">
        <is>
          <t>고경민</t>
        </is>
      </c>
      <c r="C94" s="6" t="n">
        <v>0.5833333333333334</v>
      </c>
      <c r="D94" s="6" t="n">
        <v>0.7916666666666666</v>
      </c>
      <c r="E94" s="7">
        <f>IF(AND(C94&lt;&gt;"",D94&lt;&gt;""),D94-C94,0)</f>
        <v/>
      </c>
      <c r="F94" s="3" t="n">
        <v>60000</v>
      </c>
      <c r="G94" s="8">
        <f>IFERROR(IF(B94&lt;&gt;"",INDEX('직원 마스터'!B$2:B$31,MATCH(1,('직원 마스터'!A$2:A$31=B94)*('직원 마스터'!F$2:F$31&lt;=(YEAR(A94)*100+MONTH(A94)))*(('직원 마스터'!G$2:G$31="")+('직원 마스터'!G$2:G$31&gt;=(YEAR(A94)*100+MONTH(A94)))),0)),""),"")</f>
        <v/>
      </c>
      <c r="H94" s="2" t="n"/>
    </row>
    <row r="95">
      <c r="A95" s="5" t="n">
        <v>45804</v>
      </c>
      <c r="B95" s="2" t="inlineStr">
        <is>
          <t>고경민</t>
        </is>
      </c>
      <c r="C95" s="6" t="n">
        <v>0.5833333333333334</v>
      </c>
      <c r="D95" s="6" t="n">
        <v>0.7916666666666666</v>
      </c>
      <c r="E95" s="7">
        <f>IF(AND(C95&lt;&gt;"",D95&lt;&gt;""),D95-C95,0)</f>
        <v/>
      </c>
      <c r="F95" s="3" t="n">
        <v>60000</v>
      </c>
      <c r="G95" s="8">
        <f>IFERROR(IF(B95&lt;&gt;"",INDEX('직원 마스터'!B$2:B$31,MATCH(1,('직원 마스터'!A$2:A$31=B95)*('직원 마스터'!F$2:F$31&lt;=(YEAR(A95)*100+MONTH(A95)))*(('직원 마스터'!G$2:G$31="")+('직원 마스터'!G$2:G$31&gt;=(YEAR(A95)*100+MONTH(A95)))),0)),""),"")</f>
        <v/>
      </c>
      <c r="H95" s="2" t="n"/>
    </row>
    <row r="96">
      <c r="A96" s="5" t="n">
        <v>45805</v>
      </c>
      <c r="B96" s="2" t="inlineStr">
        <is>
          <t>고경민</t>
        </is>
      </c>
      <c r="C96" s="6" t="n">
        <v>0.5833333333333334</v>
      </c>
      <c r="D96" s="6" t="n">
        <v>0.7916666666666666</v>
      </c>
      <c r="E96" s="7">
        <f>IF(AND(C96&lt;&gt;"",D96&lt;&gt;""),D96-C96,0)</f>
        <v/>
      </c>
      <c r="F96" s="3" t="n">
        <v>60000</v>
      </c>
      <c r="G96" s="8">
        <f>IFERROR(IF(B96&lt;&gt;"",INDEX('직원 마스터'!B$2:B$31,MATCH(1,('직원 마스터'!A$2:A$31=B96)*('직원 마스터'!F$2:F$31&lt;=(YEAR(A96)*100+MONTH(A96)))*(('직원 마스터'!G$2:G$31="")+('직원 마스터'!G$2:G$31&gt;=(YEAR(A96)*100+MONTH(A96)))),0)),""),"")</f>
        <v/>
      </c>
      <c r="H96" s="2" t="n"/>
    </row>
    <row r="97">
      <c r="A97" s="5" t="n">
        <v>45806</v>
      </c>
      <c r="B97" s="2" t="inlineStr">
        <is>
          <t>장예원</t>
        </is>
      </c>
      <c r="C97" s="6" t="n">
        <v>0.5833333333333334</v>
      </c>
      <c r="D97" s="6" t="n">
        <v>0.7916666666666666</v>
      </c>
      <c r="E97" s="7">
        <f>IF(AND(C97&lt;&gt;"",D97&lt;&gt;""),D97-C97,0)</f>
        <v/>
      </c>
      <c r="F97" s="3" t="n">
        <v>60000</v>
      </c>
      <c r="G97" s="8">
        <f>IFERROR(IF(B97&lt;&gt;"",INDEX('직원 마스터'!B$2:B$31,MATCH(1,('직원 마스터'!A$2:A$31=B97)*('직원 마스터'!F$2:F$31&lt;=(YEAR(A97)*100+MONTH(A97)))*(('직원 마스터'!G$2:G$31="")+('직원 마스터'!G$2:G$31&gt;=(YEAR(A97)*100+MONTH(A97)))),0)),""),"")</f>
        <v/>
      </c>
      <c r="H97" s="2" t="n"/>
    </row>
    <row r="98">
      <c r="A98" s="5" t="n">
        <v>45807</v>
      </c>
      <c r="B98" s="2" t="inlineStr">
        <is>
          <t>장예원</t>
        </is>
      </c>
      <c r="C98" s="6" t="n">
        <v>0.5833333333333334</v>
      </c>
      <c r="D98" s="6" t="n">
        <v>0.7916666666666666</v>
      </c>
      <c r="E98" s="7">
        <f>IF(AND(C98&lt;&gt;"",D98&lt;&gt;""),D98-C98,0)</f>
        <v/>
      </c>
      <c r="F98" s="3" t="n">
        <v>60000</v>
      </c>
      <c r="G98" s="8">
        <f>IFERROR(IF(B98&lt;&gt;"",INDEX('직원 마스터'!B$2:B$31,MATCH(1,('직원 마스터'!A$2:A$31=B98)*('직원 마스터'!F$2:F$31&lt;=(YEAR(A98)*100+MONTH(A98)))*(('직원 마스터'!G$2:G$31="")+('직원 마스터'!G$2:G$31&gt;=(YEAR(A98)*100+MONTH(A98)))),0)),""),"")</f>
        <v/>
      </c>
      <c r="H98" s="2" t="n"/>
    </row>
    <row r="99">
      <c r="A99" s="5" t="n">
        <v>45808</v>
      </c>
      <c r="B99" s="2" t="inlineStr">
        <is>
          <t>장예원</t>
        </is>
      </c>
      <c r="C99" s="6" t="n">
        <v>0.4375</v>
      </c>
      <c r="D99" s="6" t="n">
        <v>0.6041666666666666</v>
      </c>
      <c r="E99" s="7">
        <f>IF(AND(C99&lt;&gt;"",D99&lt;&gt;""),D99-C99,0)</f>
        <v/>
      </c>
      <c r="F99" s="3" t="n">
        <v>48000</v>
      </c>
      <c r="G99" s="8">
        <f>IFERROR(IF(B99&lt;&gt;"",INDEX('직원 마스터'!B$2:B$31,MATCH(1,('직원 마스터'!A$2:A$31=B99)*('직원 마스터'!F$2:F$31&lt;=(YEAR(A99)*100+MONTH(A99)))*(('직원 마스터'!G$2:G$31="")+('직원 마스터'!G$2:G$31&gt;=(YEAR(A99)*100+MONTH(A99)))),0)),""),"")</f>
        <v/>
      </c>
      <c r="H99" s="2" t="n"/>
    </row>
    <row r="100">
      <c r="A100" s="5" t="n">
        <v>45810</v>
      </c>
      <c r="B100" s="2" t="inlineStr">
        <is>
          <t>고경민</t>
        </is>
      </c>
      <c r="C100" s="6" t="n">
        <v>0.5833333333333334</v>
      </c>
      <c r="D100" s="6" t="n">
        <v>0.7916666666666666</v>
      </c>
      <c r="E100" s="7">
        <f>IF(AND(C100&lt;&gt;"",D100&lt;&gt;""),D100-C100,0)</f>
        <v/>
      </c>
      <c r="F100" s="3" t="n">
        <v>60000</v>
      </c>
      <c r="G100" s="8">
        <f>IFERROR(IF(B100&lt;&gt;"",INDEX('직원 마스터'!B$2:B$31,MATCH(1,('직원 마스터'!A$2:A$31=B100)*('직원 마스터'!F$2:F$31&lt;=(YEAR(A100)*100+MONTH(A100)))*(('직원 마스터'!G$2:G$31="")+('직원 마스터'!G$2:G$31&gt;=(YEAR(A100)*100+MONTH(A100)))),0)),""),"")</f>
        <v/>
      </c>
      <c r="H100" s="2" t="n"/>
    </row>
    <row r="101">
      <c r="A101" s="5" t="n">
        <v>45812</v>
      </c>
      <c r="B101" s="2" t="inlineStr">
        <is>
          <t>고경민</t>
        </is>
      </c>
      <c r="C101" s="6" t="n">
        <v>0.5833333333333334</v>
      </c>
      <c r="D101" s="6" t="n">
        <v>0.7916666666666666</v>
      </c>
      <c r="E101" s="7">
        <f>IF(AND(C101&lt;&gt;"",D101&lt;&gt;""),D101-C101,0)</f>
        <v/>
      </c>
      <c r="F101" s="3" t="n">
        <v>60000</v>
      </c>
      <c r="G101" s="8">
        <f>IFERROR(IF(B101&lt;&gt;"",INDEX('직원 마스터'!B$2:B$31,MATCH(1,('직원 마스터'!A$2:A$31=B101)*('직원 마스터'!F$2:F$31&lt;=(YEAR(A101)*100+MONTH(A101)))*(('직원 마스터'!G$2:G$31="")+('직원 마스터'!G$2:G$31&gt;=(YEAR(A101)*100+MONTH(A101)))),0)),""),"")</f>
        <v/>
      </c>
      <c r="H101" s="2" t="n"/>
    </row>
    <row r="102">
      <c r="A102" s="5" t="n">
        <v>45813</v>
      </c>
      <c r="B102" s="2" t="inlineStr">
        <is>
          <t>장예원</t>
        </is>
      </c>
      <c r="C102" s="6" t="n">
        <v>0.5833333333333334</v>
      </c>
      <c r="D102" s="6" t="n">
        <v>0.7916666666666666</v>
      </c>
      <c r="E102" s="7">
        <f>IF(AND(C102&lt;&gt;"",D102&lt;&gt;""),D102-C102,0)</f>
        <v/>
      </c>
      <c r="F102" s="3" t="n">
        <v>60000</v>
      </c>
      <c r="G102" s="8">
        <f>IFERROR(IF(B102&lt;&gt;"",INDEX('직원 마스터'!B$2:B$31,MATCH(1,('직원 마스터'!A$2:A$31=B102)*('직원 마스터'!F$2:F$31&lt;=(YEAR(A102)*100+MONTH(A102)))*(('직원 마스터'!G$2:G$31="")+('직원 마스터'!G$2:G$31&gt;=(YEAR(A102)*100+MONTH(A102)))),0)),""),"")</f>
        <v/>
      </c>
      <c r="H102" s="2" t="n"/>
    </row>
    <row r="103">
      <c r="A103" s="5" t="n">
        <v>45815</v>
      </c>
      <c r="B103" s="2" t="inlineStr">
        <is>
          <t>장예원</t>
        </is>
      </c>
      <c r="C103" s="6" t="n">
        <v>0.4375</v>
      </c>
      <c r="D103" s="6" t="n">
        <v>0.6041666666666666</v>
      </c>
      <c r="E103" s="7">
        <f>IF(AND(C103&lt;&gt;"",D103&lt;&gt;""),D103-C103,0)</f>
        <v/>
      </c>
      <c r="F103" s="3" t="n">
        <v>48000</v>
      </c>
      <c r="G103" s="8">
        <f>IFERROR(IF(B103&lt;&gt;"",INDEX('직원 마스터'!B$2:B$31,MATCH(1,('직원 마스터'!A$2:A$31=B103)*('직원 마스터'!F$2:F$31&lt;=(YEAR(A103)*100+MONTH(A103)))*(('직원 마스터'!G$2:G$31="")+('직원 마스터'!G$2:G$31&gt;=(YEAR(A103)*100+MONTH(A103)))),0)),""),"")</f>
        <v/>
      </c>
      <c r="H103" s="2" t="n"/>
    </row>
    <row r="104">
      <c r="A104" s="5" t="n">
        <v>45817</v>
      </c>
      <c r="B104" s="2" t="inlineStr">
        <is>
          <t>고경민</t>
        </is>
      </c>
      <c r="C104" s="6" t="n">
        <v>0.5833333333333334</v>
      </c>
      <c r="D104" s="6" t="n">
        <v>0.7916666666666666</v>
      </c>
      <c r="E104" s="7">
        <f>IF(AND(C104&lt;&gt;"",D104&lt;&gt;""),D104-C104,0)</f>
        <v/>
      </c>
      <c r="F104" s="3" t="n">
        <v>60000</v>
      </c>
      <c r="G104" s="8">
        <f>IFERROR(IF(B104&lt;&gt;"",INDEX('직원 마스터'!B$2:B$31,MATCH(1,('직원 마스터'!A$2:A$31=B104)*('직원 마스터'!F$2:F$31&lt;=(YEAR(A104)*100+MONTH(A104)))*(('직원 마스터'!G$2:G$31="")+('직원 마스터'!G$2:G$31&gt;=(YEAR(A104)*100+MONTH(A104)))),0)),""),"")</f>
        <v/>
      </c>
      <c r="H104" s="2" t="n"/>
    </row>
    <row r="105">
      <c r="A105" s="5" t="n">
        <v>45818</v>
      </c>
      <c r="B105" s="2" t="inlineStr">
        <is>
          <t>고경민</t>
        </is>
      </c>
      <c r="C105" s="6" t="n">
        <v>0.5833333333333334</v>
      </c>
      <c r="D105" s="6" t="n">
        <v>0.7916666666666666</v>
      </c>
      <c r="E105" s="7">
        <f>IF(AND(C105&lt;&gt;"",D105&lt;&gt;""),D105-C105,0)</f>
        <v/>
      </c>
      <c r="F105" s="3" t="n">
        <v>60000</v>
      </c>
      <c r="G105" s="8">
        <f>IFERROR(IF(B105&lt;&gt;"",INDEX('직원 마스터'!B$2:B$31,MATCH(1,('직원 마스터'!A$2:A$31=B105)*('직원 마스터'!F$2:F$31&lt;=(YEAR(A105)*100+MONTH(A105)))*(('직원 마스터'!G$2:G$31="")+('직원 마스터'!G$2:G$31&gt;=(YEAR(A105)*100+MONTH(A105)))),0)),""),"")</f>
        <v/>
      </c>
      <c r="H105" s="2" t="n"/>
    </row>
    <row r="106">
      <c r="A106" s="5" t="n">
        <v>45819</v>
      </c>
      <c r="B106" s="2" t="inlineStr">
        <is>
          <t>고경민</t>
        </is>
      </c>
      <c r="C106" s="6" t="n">
        <v>0.5833333333333334</v>
      </c>
      <c r="D106" s="6" t="n">
        <v>0.7916666666666666</v>
      </c>
      <c r="E106" s="7">
        <f>IF(AND(C106&lt;&gt;"",D106&lt;&gt;""),D106-C106,0)</f>
        <v/>
      </c>
      <c r="F106" s="3" t="n">
        <v>60000</v>
      </c>
      <c r="G106" s="8">
        <f>IFERROR(IF(B106&lt;&gt;"",INDEX('직원 마스터'!B$2:B$31,MATCH(1,('직원 마스터'!A$2:A$31=B106)*('직원 마스터'!F$2:F$31&lt;=(YEAR(A106)*100+MONTH(A106)))*(('직원 마스터'!G$2:G$31="")+('직원 마스터'!G$2:G$31&gt;=(YEAR(A106)*100+MONTH(A106)))),0)),""),"")</f>
        <v/>
      </c>
      <c r="H106" s="2" t="n"/>
    </row>
    <row r="107">
      <c r="A107" s="5" t="n">
        <v>45820</v>
      </c>
      <c r="B107" s="2" t="inlineStr">
        <is>
          <t>장예원</t>
        </is>
      </c>
      <c r="C107" s="6" t="n">
        <v>0.5833333333333334</v>
      </c>
      <c r="D107" s="6" t="n">
        <v>0.7916666666666666</v>
      </c>
      <c r="E107" s="7">
        <f>IF(AND(C107&lt;&gt;"",D107&lt;&gt;""),D107-C107,0)</f>
        <v/>
      </c>
      <c r="F107" s="3" t="n">
        <v>60000</v>
      </c>
      <c r="G107" s="8">
        <f>IFERROR(IF(B107&lt;&gt;"",INDEX('직원 마스터'!B$2:B$31,MATCH(1,('직원 마스터'!A$2:A$31=B107)*('직원 마스터'!F$2:F$31&lt;=(YEAR(A107)*100+MONTH(A107)))*(('직원 마스터'!G$2:G$31="")+('직원 마스터'!G$2:G$31&gt;=(YEAR(A107)*100+MONTH(A107)))),0)),""),"")</f>
        <v/>
      </c>
      <c r="H107" s="2" t="n"/>
    </row>
    <row r="108">
      <c r="A108" s="5" t="n">
        <v>45821</v>
      </c>
      <c r="B108" s="2" t="inlineStr">
        <is>
          <t>장예원</t>
        </is>
      </c>
      <c r="C108" s="6" t="n">
        <v>0.5833333333333334</v>
      </c>
      <c r="D108" s="6" t="n">
        <v>0.7916666666666666</v>
      </c>
      <c r="E108" s="7">
        <f>IF(AND(C108&lt;&gt;"",D108&lt;&gt;""),D108-C108,0)</f>
        <v/>
      </c>
      <c r="F108" s="3" t="n">
        <v>60000</v>
      </c>
      <c r="G108" s="8">
        <f>IFERROR(IF(B108&lt;&gt;"",INDEX('직원 마스터'!B$2:B$31,MATCH(1,('직원 마스터'!A$2:A$31=B108)*('직원 마스터'!F$2:F$31&lt;=(YEAR(A108)*100+MONTH(A108)))*(('직원 마스터'!G$2:G$31="")+('직원 마스터'!G$2:G$31&gt;=(YEAR(A108)*100+MONTH(A108)))),0)),""),"")</f>
        <v/>
      </c>
      <c r="H108" s="2" t="n"/>
    </row>
    <row r="109">
      <c r="A109" s="5" t="n">
        <v>45822</v>
      </c>
      <c r="B109" s="2" t="inlineStr">
        <is>
          <t>장예원</t>
        </is>
      </c>
      <c r="C109" s="6" t="n">
        <v>0.4375</v>
      </c>
      <c r="D109" s="6" t="n">
        <v>0.6041666666666666</v>
      </c>
      <c r="E109" s="7">
        <f>IF(AND(C109&lt;&gt;"",D109&lt;&gt;""),D109-C109,0)</f>
        <v/>
      </c>
      <c r="F109" s="3" t="n">
        <v>48000</v>
      </c>
      <c r="G109" s="8">
        <f>IFERROR(IF(B109&lt;&gt;"",INDEX('직원 마스터'!B$2:B$31,MATCH(1,('직원 마스터'!A$2:A$31=B109)*('직원 마스터'!F$2:F$31&lt;=(YEAR(A109)*100+MONTH(A109)))*(('직원 마스터'!G$2:G$31="")+('직원 마스터'!G$2:G$31&gt;=(YEAR(A109)*100+MONTH(A109)))),0)),""),"")</f>
        <v/>
      </c>
      <c r="H109" s="2" t="n"/>
    </row>
    <row r="110">
      <c r="A110" s="5" t="n">
        <v>45824</v>
      </c>
      <c r="B110" s="2" t="inlineStr">
        <is>
          <t>고경민</t>
        </is>
      </c>
      <c r="C110" s="6" t="n">
        <v>0.5833333333333334</v>
      </c>
      <c r="D110" s="6" t="n">
        <v>0.7916666666666666</v>
      </c>
      <c r="E110" s="7">
        <f>IF(AND(C110&lt;&gt;"",D110&lt;&gt;""),D110-C110,0)</f>
        <v/>
      </c>
      <c r="F110" s="3" t="n">
        <v>60000</v>
      </c>
      <c r="G110" s="8">
        <f>IFERROR(IF(B110&lt;&gt;"",INDEX('직원 마스터'!B$2:B$31,MATCH(1,('직원 마스터'!A$2:A$31=B110)*('직원 마스터'!F$2:F$31&lt;=(YEAR(A110)*100+MONTH(A110)))*(('직원 마스터'!G$2:G$31="")+('직원 마스터'!G$2:G$31&gt;=(YEAR(A110)*100+MONTH(A110)))),0)),""),"")</f>
        <v/>
      </c>
      <c r="H110" s="2" t="n"/>
    </row>
    <row r="111">
      <c r="A111" s="5" t="n">
        <v>45825</v>
      </c>
      <c r="B111" s="2" t="inlineStr">
        <is>
          <t>고경민</t>
        </is>
      </c>
      <c r="C111" s="6" t="n">
        <v>0.5833333333333334</v>
      </c>
      <c r="D111" s="6" t="n">
        <v>0.7916666666666666</v>
      </c>
      <c r="E111" s="7">
        <f>IF(AND(C111&lt;&gt;"",D111&lt;&gt;""),D111-C111,0)</f>
        <v/>
      </c>
      <c r="F111" s="3" t="n">
        <v>60000</v>
      </c>
      <c r="G111" s="8">
        <f>IFERROR(IF(B111&lt;&gt;"",INDEX('직원 마스터'!B$2:B$31,MATCH(1,('직원 마스터'!A$2:A$31=B111)*('직원 마스터'!F$2:F$31&lt;=(YEAR(A111)*100+MONTH(A111)))*(('직원 마스터'!G$2:G$31="")+('직원 마스터'!G$2:G$31&gt;=(YEAR(A111)*100+MONTH(A111)))),0)),""),"")</f>
        <v/>
      </c>
      <c r="H111" s="2" t="n"/>
    </row>
    <row r="112">
      <c r="A112" s="5" t="n">
        <v>45826</v>
      </c>
      <c r="B112" s="2" t="inlineStr">
        <is>
          <t>고경민</t>
        </is>
      </c>
      <c r="C112" s="6" t="n">
        <v>0.5833333333333334</v>
      </c>
      <c r="D112" s="6" t="n">
        <v>0.7916666666666666</v>
      </c>
      <c r="E112" s="7">
        <f>IF(AND(C112&lt;&gt;"",D112&lt;&gt;""),D112-C112,0)</f>
        <v/>
      </c>
      <c r="F112" s="3" t="n">
        <v>60000</v>
      </c>
      <c r="G112" s="8">
        <f>IFERROR(IF(B112&lt;&gt;"",INDEX('직원 마스터'!B$2:B$31,MATCH(1,('직원 마스터'!A$2:A$31=B112)*('직원 마스터'!F$2:F$31&lt;=(YEAR(A112)*100+MONTH(A112)))*(('직원 마스터'!G$2:G$31="")+('직원 마스터'!G$2:G$31&gt;=(YEAR(A112)*100+MONTH(A112)))),0)),""),"")</f>
        <v/>
      </c>
      <c r="H112" s="2" t="n"/>
    </row>
    <row r="113">
      <c r="A113" s="5" t="n">
        <v>45827</v>
      </c>
      <c r="B113" s="2" t="inlineStr">
        <is>
          <t>고경민</t>
        </is>
      </c>
      <c r="C113" s="6" t="n">
        <v>0.5833333333333334</v>
      </c>
      <c r="D113" s="6" t="n">
        <v>0.7916666666666666</v>
      </c>
      <c r="E113" s="7">
        <f>IF(AND(C113&lt;&gt;"",D113&lt;&gt;""),D113-C113,0)</f>
        <v/>
      </c>
      <c r="F113" s="3" t="n">
        <v>60000</v>
      </c>
      <c r="G113" s="8">
        <f>IFERROR(IF(B113&lt;&gt;"",INDEX('직원 마스터'!B$2:B$31,MATCH(1,('직원 마스터'!A$2:A$31=B113)*('직원 마스터'!F$2:F$31&lt;=(YEAR(A113)*100+MONTH(A113)))*(('직원 마스터'!G$2:G$31="")+('직원 마스터'!G$2:G$31&gt;=(YEAR(A113)*100+MONTH(A113)))),0)),""),"")</f>
        <v/>
      </c>
      <c r="H113" s="2" t="n"/>
    </row>
    <row r="114">
      <c r="A114" s="5" t="n">
        <v>45828</v>
      </c>
      <c r="B114" s="2" t="inlineStr">
        <is>
          <t>고경민</t>
        </is>
      </c>
      <c r="C114" s="6" t="n">
        <v>0.5833333333333334</v>
      </c>
      <c r="D114" s="6" t="n">
        <v>0.7916666666666666</v>
      </c>
      <c r="E114" s="7">
        <f>IF(AND(C114&lt;&gt;"",D114&lt;&gt;""),D114-C114,0)</f>
        <v/>
      </c>
      <c r="F114" s="3" t="n">
        <v>60000</v>
      </c>
      <c r="G114" s="8">
        <f>IFERROR(IF(B114&lt;&gt;"",INDEX('직원 마스터'!B$2:B$31,MATCH(1,('직원 마스터'!A$2:A$31=B114)*('직원 마스터'!F$2:F$31&lt;=(YEAR(A114)*100+MONTH(A114)))*(('직원 마스터'!G$2:G$31="")+('직원 마스터'!G$2:G$31&gt;=(YEAR(A114)*100+MONTH(A114)))),0)),""),"")</f>
        <v/>
      </c>
      <c r="H114" s="2" t="n"/>
    </row>
    <row r="115">
      <c r="A115" s="5" t="n">
        <v>45829</v>
      </c>
      <c r="B115" s="2" t="inlineStr">
        <is>
          <t>고경민</t>
        </is>
      </c>
      <c r="C115" s="6" t="n">
        <v>0.4375</v>
      </c>
      <c r="D115" s="6" t="n">
        <v>0.6041666666666666</v>
      </c>
      <c r="E115" s="7">
        <f>IF(AND(C115&lt;&gt;"",D115&lt;&gt;""),D115-C115,0)</f>
        <v/>
      </c>
      <c r="F115" s="3" t="n">
        <v>48000</v>
      </c>
      <c r="G115" s="8">
        <f>IFERROR(IF(B115&lt;&gt;"",INDEX('직원 마스터'!B$2:B$31,MATCH(1,('직원 마스터'!A$2:A$31=B115)*('직원 마스터'!F$2:F$31&lt;=(YEAR(A115)*100+MONTH(A115)))*(('직원 마스터'!G$2:G$31="")+('직원 마스터'!G$2:G$31&gt;=(YEAR(A115)*100+MONTH(A115)))),0)),""),"")</f>
        <v/>
      </c>
      <c r="H115" s="2" t="n"/>
    </row>
    <row r="116">
      <c r="A116" s="5" t="n">
        <v>45831</v>
      </c>
      <c r="B116" s="2" t="inlineStr">
        <is>
          <t>고경민</t>
        </is>
      </c>
      <c r="C116" s="6" t="n">
        <v>0.5833333333333334</v>
      </c>
      <c r="D116" s="6" t="n">
        <v>0.7916666666666666</v>
      </c>
      <c r="E116" s="7">
        <f>IF(AND(C116&lt;&gt;"",D116&lt;&gt;""),D116-C116,0)</f>
        <v/>
      </c>
      <c r="F116" s="3" t="n">
        <v>60000</v>
      </c>
      <c r="G116" s="8">
        <f>IFERROR(IF(B116&lt;&gt;"",INDEX('직원 마스터'!B$2:B$31,MATCH(1,('직원 마스터'!A$2:A$31=B116)*('직원 마스터'!F$2:F$31&lt;=(YEAR(A116)*100+MONTH(A116)))*(('직원 마스터'!G$2:G$31="")+('직원 마스터'!G$2:G$31&gt;=(YEAR(A116)*100+MONTH(A116)))),0)),""),"")</f>
        <v/>
      </c>
      <c r="H116" s="2" t="n"/>
    </row>
    <row r="117">
      <c r="A117" s="5" t="n">
        <v>45832</v>
      </c>
      <c r="B117" s="2" t="inlineStr">
        <is>
          <t>고경민</t>
        </is>
      </c>
      <c r="C117" s="6" t="n">
        <v>0.5833333333333334</v>
      </c>
      <c r="D117" s="6" t="n">
        <v>0.7916666666666666</v>
      </c>
      <c r="E117" s="7">
        <f>IF(AND(C117&lt;&gt;"",D117&lt;&gt;""),D117-C117,0)</f>
        <v/>
      </c>
      <c r="F117" s="3" t="n">
        <v>60000</v>
      </c>
      <c r="G117" s="8">
        <f>IFERROR(IF(B117&lt;&gt;"",INDEX('직원 마스터'!B$2:B$31,MATCH(1,('직원 마스터'!A$2:A$31=B117)*('직원 마스터'!F$2:F$31&lt;=(YEAR(A117)*100+MONTH(A117)))*(('직원 마스터'!G$2:G$31="")+('직원 마스터'!G$2:G$31&gt;=(YEAR(A117)*100+MONTH(A117)))),0)),""),"")</f>
        <v/>
      </c>
      <c r="H117" s="2" t="n"/>
    </row>
    <row r="118">
      <c r="A118" s="5" t="n">
        <v>45833</v>
      </c>
      <c r="B118" s="2" t="inlineStr">
        <is>
          <t>고경민</t>
        </is>
      </c>
      <c r="C118" s="6" t="n">
        <v>0.5833333333333334</v>
      </c>
      <c r="D118" s="6" t="n">
        <v>0.7916666666666666</v>
      </c>
      <c r="E118" s="7">
        <f>IF(AND(C118&lt;&gt;"",D118&lt;&gt;""),D118-C118,0)</f>
        <v/>
      </c>
      <c r="F118" s="3" t="n">
        <v>60000</v>
      </c>
      <c r="G118" s="8">
        <f>IFERROR(IF(B118&lt;&gt;"",INDEX('직원 마스터'!B$2:B$31,MATCH(1,('직원 마스터'!A$2:A$31=B118)*('직원 마스터'!F$2:F$31&lt;=(YEAR(A118)*100+MONTH(A118)))*(('직원 마스터'!G$2:G$31="")+('직원 마스터'!G$2:G$31&gt;=(YEAR(A118)*100+MONTH(A118)))),0)),""),"")</f>
        <v/>
      </c>
      <c r="H118" s="2" t="n"/>
    </row>
    <row r="119">
      <c r="A119" s="5" t="n">
        <v>45834</v>
      </c>
      <c r="B119" s="2" t="inlineStr">
        <is>
          <t>장예원</t>
        </is>
      </c>
      <c r="C119" s="6" t="n">
        <v>0.5833333333333334</v>
      </c>
      <c r="D119" s="6" t="n">
        <v>0.7916666666666666</v>
      </c>
      <c r="E119" s="7">
        <f>IF(AND(C119&lt;&gt;"",D119&lt;&gt;""),D119-C119,0)</f>
        <v/>
      </c>
      <c r="F119" s="3" t="n">
        <v>60000</v>
      </c>
      <c r="G119" s="8">
        <f>IFERROR(IF(B119&lt;&gt;"",INDEX('직원 마스터'!B$2:B$31,MATCH(1,('직원 마스터'!A$2:A$31=B119)*('직원 마스터'!F$2:F$31&lt;=(YEAR(A119)*100+MONTH(A119)))*(('직원 마스터'!G$2:G$31="")+('직원 마스터'!G$2:G$31&gt;=(YEAR(A119)*100+MONTH(A119)))),0)),""),"")</f>
        <v/>
      </c>
      <c r="H119" s="2" t="n"/>
    </row>
    <row r="120">
      <c r="A120" s="5" t="n">
        <v>45835</v>
      </c>
      <c r="B120" s="2" t="inlineStr">
        <is>
          <t>장예원</t>
        </is>
      </c>
      <c r="C120" s="6" t="n">
        <v>0.5833333333333334</v>
      </c>
      <c r="D120" s="6" t="n">
        <v>0.7916666666666666</v>
      </c>
      <c r="E120" s="7">
        <f>IF(AND(C120&lt;&gt;"",D120&lt;&gt;""),D120-C120,0)</f>
        <v/>
      </c>
      <c r="F120" s="3" t="n">
        <v>60000</v>
      </c>
      <c r="G120" s="8">
        <f>IFERROR(IF(B120&lt;&gt;"",INDEX('직원 마스터'!B$2:B$31,MATCH(1,('직원 마스터'!A$2:A$31=B120)*('직원 마스터'!F$2:F$31&lt;=(YEAR(A120)*100+MONTH(A120)))*(('직원 마스터'!G$2:G$31="")+('직원 마스터'!G$2:G$31&gt;=(YEAR(A120)*100+MONTH(A120)))),0)),""),"")</f>
        <v/>
      </c>
      <c r="H120" s="2" t="n"/>
    </row>
    <row r="121">
      <c r="A121" s="5" t="n">
        <v>45836</v>
      </c>
      <c r="B121" s="2" t="inlineStr">
        <is>
          <t>장예원</t>
        </is>
      </c>
      <c r="C121" s="6" t="n">
        <v>0.4375</v>
      </c>
      <c r="D121" s="6" t="n">
        <v>0.6041666666666666</v>
      </c>
      <c r="E121" s="7">
        <f>IF(AND(C121&lt;&gt;"",D121&lt;&gt;""),D121-C121,0)</f>
        <v/>
      </c>
      <c r="F121" s="3" t="n">
        <v>48000</v>
      </c>
      <c r="G121" s="8">
        <f>IFERROR(IF(B121&lt;&gt;"",INDEX('직원 마스터'!B$2:B$31,MATCH(1,('직원 마스터'!A$2:A$31=B121)*('직원 마스터'!F$2:F$31&lt;=(YEAR(A121)*100+MONTH(A121)))*(('직원 마스터'!G$2:G$31="")+('직원 마스터'!G$2:G$31&gt;=(YEAR(A121)*100+MONTH(A121)))),0)),""),"")</f>
        <v/>
      </c>
      <c r="H121" s="2" t="n"/>
    </row>
    <row r="122">
      <c r="A122" s="5" t="n">
        <v>45838</v>
      </c>
      <c r="B122" s="2" t="inlineStr">
        <is>
          <t>고경민</t>
        </is>
      </c>
      <c r="C122" s="6" t="n">
        <v>0.5833333333333334</v>
      </c>
      <c r="D122" s="6" t="n">
        <v>0.7916666666666666</v>
      </c>
      <c r="E122" s="7">
        <f>IF(AND(C122&lt;&gt;"",D122&lt;&gt;""),D122-C122,0)</f>
        <v/>
      </c>
      <c r="F122" s="3" t="n">
        <v>60000</v>
      </c>
      <c r="G122" s="8">
        <f>IFERROR(IF(B122&lt;&gt;"",INDEX('직원 마스터'!B$2:B$31,MATCH(1,('직원 마스터'!A$2:A$31=B122)*('직원 마스터'!F$2:F$31&lt;=(YEAR(A122)*100+MONTH(A122)))*(('직원 마스터'!G$2:G$31="")+('직원 마스터'!G$2:G$31&gt;=(YEAR(A122)*100+MONTH(A122)))),0)),""),"")</f>
        <v/>
      </c>
      <c r="H122" s="2" t="n"/>
    </row>
    <row r="123">
      <c r="A123" s="5" t="n">
        <v>45839</v>
      </c>
      <c r="B123" s="2" t="inlineStr">
        <is>
          <t>장예원</t>
        </is>
      </c>
      <c r="C123" s="6" t="n">
        <v>0.5833333333333334</v>
      </c>
      <c r="D123" s="6" t="n">
        <v>0.7916666666666666</v>
      </c>
      <c r="E123" s="7">
        <f>IF(AND(C123&lt;&gt;"",D123&lt;&gt;""),D123-C123,0)</f>
        <v/>
      </c>
      <c r="F123" s="3" t="n">
        <v>60000</v>
      </c>
      <c r="G123" s="8">
        <f>IFERROR(IF(B123&lt;&gt;"",INDEX('직원 마스터'!B$2:B$31,MATCH(1,('직원 마스터'!A$2:A$31=B123)*('직원 마스터'!F$2:F$31&lt;=(YEAR(A123)*100+MONTH(A123)))*(('직원 마스터'!G$2:G$31="")+('직원 마스터'!G$2:G$31&gt;=(YEAR(A123)*100+MONTH(A123)))),0)),""),"")</f>
        <v/>
      </c>
      <c r="H123" s="2" t="n"/>
    </row>
    <row r="124">
      <c r="A124" s="5" t="n">
        <v>45840</v>
      </c>
      <c r="B124" s="2" t="inlineStr">
        <is>
          <t>장예원</t>
        </is>
      </c>
      <c r="C124" s="6" t="n">
        <v>0.5833333333333334</v>
      </c>
      <c r="D124" s="6" t="n">
        <v>0.7916666666666666</v>
      </c>
      <c r="E124" s="7">
        <f>IF(AND(C124&lt;&gt;"",D124&lt;&gt;""),D124-C124,0)</f>
        <v/>
      </c>
      <c r="F124" s="3" t="n">
        <v>60000</v>
      </c>
      <c r="G124" s="8">
        <f>IFERROR(IF(B124&lt;&gt;"",INDEX('직원 마스터'!B$2:B$31,MATCH(1,('직원 마스터'!A$2:A$31=B124)*('직원 마스터'!F$2:F$31&lt;=(YEAR(A124)*100+MONTH(A124)))*(('직원 마스터'!G$2:G$31="")+('직원 마스터'!G$2:G$31&gt;=(YEAR(A124)*100+MONTH(A124)))),0)),""),"")</f>
        <v/>
      </c>
      <c r="H124" s="2" t="n"/>
    </row>
    <row r="125">
      <c r="A125" s="5" t="n">
        <v>45841</v>
      </c>
      <c r="B125" s="2" t="inlineStr">
        <is>
          <t>장예원</t>
        </is>
      </c>
      <c r="C125" s="6" t="n">
        <v>0.5833333333333334</v>
      </c>
      <c r="D125" s="6" t="n">
        <v>0.7916666666666666</v>
      </c>
      <c r="E125" s="7">
        <f>IF(AND(C125&lt;&gt;"",D125&lt;&gt;""),D125-C125,0)</f>
        <v/>
      </c>
      <c r="F125" s="3" t="n">
        <v>60000</v>
      </c>
      <c r="G125" s="8">
        <f>IFERROR(IF(B125&lt;&gt;"",INDEX('직원 마스터'!B$2:B$31,MATCH(1,('직원 마스터'!A$2:A$31=B125)*('직원 마스터'!F$2:F$31&lt;=(YEAR(A125)*100+MONTH(A125)))*(('직원 마스터'!G$2:G$31="")+('직원 마스터'!G$2:G$31&gt;=(YEAR(A125)*100+MONTH(A125)))),0)),""),"")</f>
        <v/>
      </c>
      <c r="H125" s="2" t="n"/>
    </row>
    <row r="126">
      <c r="A126" s="5" t="n">
        <v>45842</v>
      </c>
      <c r="B126" s="2" t="inlineStr">
        <is>
          <t>장예원</t>
        </is>
      </c>
      <c r="C126" s="6" t="n">
        <v>0.5833333333333334</v>
      </c>
      <c r="D126" s="6" t="n">
        <v>0.7916666666666666</v>
      </c>
      <c r="E126" s="7">
        <f>IF(AND(C126&lt;&gt;"",D126&lt;&gt;""),D126-C126,0)</f>
        <v/>
      </c>
      <c r="F126" s="3" t="n">
        <v>60000</v>
      </c>
      <c r="G126" s="8">
        <f>IFERROR(IF(B126&lt;&gt;"",INDEX('직원 마스터'!B$2:B$31,MATCH(1,('직원 마스터'!A$2:A$31=B126)*('직원 마스터'!F$2:F$31&lt;=(YEAR(A126)*100+MONTH(A126)))*(('직원 마스터'!G$2:G$31="")+('직원 마스터'!G$2:G$31&gt;=(YEAR(A126)*100+MONTH(A126)))),0)),""),"")</f>
        <v/>
      </c>
      <c r="H126" s="2" t="n"/>
    </row>
    <row r="127">
      <c r="A127" s="5" t="n">
        <v>45843</v>
      </c>
      <c r="B127" s="2" t="inlineStr">
        <is>
          <t>장예원</t>
        </is>
      </c>
      <c r="C127" s="6" t="n">
        <v>0.4375</v>
      </c>
      <c r="D127" s="6" t="n">
        <v>0.6041666666666666</v>
      </c>
      <c r="E127" s="7">
        <f>IF(AND(C127&lt;&gt;"",D127&lt;&gt;""),D127-C127,0)</f>
        <v/>
      </c>
      <c r="F127" s="3" t="n">
        <v>48000</v>
      </c>
      <c r="G127" s="8">
        <f>IFERROR(IF(B127&lt;&gt;"",INDEX('직원 마스터'!B$2:B$31,MATCH(1,('직원 마스터'!A$2:A$31=B127)*('직원 마스터'!F$2:F$31&lt;=(YEAR(A127)*100+MONTH(A127)))*(('직원 마스터'!G$2:G$31="")+('직원 마스터'!G$2:G$31&gt;=(YEAR(A127)*100+MONTH(A127)))),0)),""),"")</f>
        <v/>
      </c>
      <c r="H127" s="2" t="n"/>
    </row>
    <row r="128">
      <c r="A128" s="5" t="n">
        <v>45845</v>
      </c>
      <c r="B128" s="2" t="inlineStr">
        <is>
          <t>고경민</t>
        </is>
      </c>
      <c r="C128" s="6" t="n">
        <v>0.5833333333333334</v>
      </c>
      <c r="D128" s="6" t="n">
        <v>0.7916666666666666</v>
      </c>
      <c r="E128" s="7">
        <f>IF(AND(C128&lt;&gt;"",D128&lt;&gt;""),D128-C128,0)</f>
        <v/>
      </c>
      <c r="F128" s="3" t="n">
        <v>60000</v>
      </c>
      <c r="G128" s="8">
        <f>IFERROR(IF(B128&lt;&gt;"",INDEX('직원 마스터'!B$2:B$31,MATCH(1,('직원 마스터'!A$2:A$31=B128)*('직원 마스터'!F$2:F$31&lt;=(YEAR(A128)*100+MONTH(A128)))*(('직원 마스터'!G$2:G$31="")+('직원 마스터'!G$2:G$31&gt;=(YEAR(A128)*100+MONTH(A128)))),0)),""),"")</f>
        <v/>
      </c>
      <c r="H128" s="2" t="n"/>
    </row>
    <row r="129">
      <c r="A129" s="5" t="n">
        <v>45846</v>
      </c>
      <c r="B129" s="2" t="inlineStr">
        <is>
          <t>고경민</t>
        </is>
      </c>
      <c r="C129" s="6" t="n">
        <v>0.5833333333333334</v>
      </c>
      <c r="D129" s="6" t="n">
        <v>0.7916666666666666</v>
      </c>
      <c r="E129" s="7">
        <f>IF(AND(C129&lt;&gt;"",D129&lt;&gt;""),D129-C129,0)</f>
        <v/>
      </c>
      <c r="F129" s="3" t="n">
        <v>60000</v>
      </c>
      <c r="G129" s="8">
        <f>IFERROR(IF(B129&lt;&gt;"",INDEX('직원 마스터'!B$2:B$31,MATCH(1,('직원 마스터'!A$2:A$31=B129)*('직원 마스터'!F$2:F$31&lt;=(YEAR(A129)*100+MONTH(A129)))*(('직원 마스터'!G$2:G$31="")+('직원 마스터'!G$2:G$31&gt;=(YEAR(A129)*100+MONTH(A129)))),0)),""),"")</f>
        <v/>
      </c>
      <c r="H129" s="2" t="n"/>
    </row>
    <row r="130">
      <c r="A130" s="5" t="n">
        <v>45847</v>
      </c>
      <c r="B130" s="2" t="inlineStr">
        <is>
          <t>고경민</t>
        </is>
      </c>
      <c r="C130" s="6" t="n">
        <v>0.5833333333333334</v>
      </c>
      <c r="D130" s="6" t="n">
        <v>0.7916666666666666</v>
      </c>
      <c r="E130" s="7">
        <f>IF(AND(C130&lt;&gt;"",D130&lt;&gt;""),D130-C130,0)</f>
        <v/>
      </c>
      <c r="F130" s="3" t="n">
        <v>60000</v>
      </c>
      <c r="G130" s="8">
        <f>IFERROR(IF(B130&lt;&gt;"",INDEX('직원 마스터'!B$2:B$31,MATCH(1,('직원 마스터'!A$2:A$31=B130)*('직원 마스터'!F$2:F$31&lt;=(YEAR(A130)*100+MONTH(A130)))*(('직원 마스터'!G$2:G$31="")+('직원 마스터'!G$2:G$31&gt;=(YEAR(A130)*100+MONTH(A130)))),0)),""),"")</f>
        <v/>
      </c>
      <c r="H130" s="2" t="n"/>
    </row>
    <row r="131">
      <c r="A131" s="5" t="n">
        <v>45848</v>
      </c>
      <c r="B131" s="2" t="inlineStr">
        <is>
          <t>장예원</t>
        </is>
      </c>
      <c r="C131" s="6" t="n">
        <v>0.5833333333333334</v>
      </c>
      <c r="D131" s="6" t="n">
        <v>0.7916666666666666</v>
      </c>
      <c r="E131" s="7">
        <f>IF(AND(C131&lt;&gt;"",D131&lt;&gt;""),D131-C131,0)</f>
        <v/>
      </c>
      <c r="F131" s="3" t="n">
        <v>60000</v>
      </c>
      <c r="G131" s="8">
        <f>IFERROR(IF(B131&lt;&gt;"",INDEX('직원 마스터'!B$2:B$31,MATCH(1,('직원 마스터'!A$2:A$31=B131)*('직원 마스터'!F$2:F$31&lt;=(YEAR(A131)*100+MONTH(A131)))*(('직원 마스터'!G$2:G$31="")+('직원 마스터'!G$2:G$31&gt;=(YEAR(A131)*100+MONTH(A131)))),0)),""),"")</f>
        <v/>
      </c>
      <c r="H131" s="2" t="n"/>
    </row>
    <row r="132">
      <c r="A132" s="5" t="n">
        <v>45849</v>
      </c>
      <c r="B132" s="2" t="inlineStr">
        <is>
          <t>장예원</t>
        </is>
      </c>
      <c r="C132" s="6" t="n">
        <v>0.5833333333333334</v>
      </c>
      <c r="D132" s="6" t="n">
        <v>0.7916666666666666</v>
      </c>
      <c r="E132" s="7">
        <f>IF(AND(C132&lt;&gt;"",D132&lt;&gt;""),D132-C132,0)</f>
        <v/>
      </c>
      <c r="F132" s="3" t="n">
        <v>60000</v>
      </c>
      <c r="G132" s="8">
        <f>IFERROR(IF(B132&lt;&gt;"",INDEX('직원 마스터'!B$2:B$31,MATCH(1,('직원 마스터'!A$2:A$31=B132)*('직원 마스터'!F$2:F$31&lt;=(YEAR(A132)*100+MONTH(A132)))*(('직원 마스터'!G$2:G$31="")+('직원 마스터'!G$2:G$31&gt;=(YEAR(A132)*100+MONTH(A132)))),0)),""),"")</f>
        <v/>
      </c>
      <c r="H132" s="2" t="n"/>
    </row>
    <row r="133">
      <c r="A133" s="5" t="n">
        <v>45850</v>
      </c>
      <c r="B133" s="2" t="inlineStr">
        <is>
          <t>장예원</t>
        </is>
      </c>
      <c r="C133" s="6" t="n">
        <v>0.4375</v>
      </c>
      <c r="D133" s="6" t="n">
        <v>0.6041666666666666</v>
      </c>
      <c r="E133" s="7">
        <f>IF(AND(C133&lt;&gt;"",D133&lt;&gt;""),D133-C133,0)</f>
        <v/>
      </c>
      <c r="F133" s="3" t="n">
        <v>48000</v>
      </c>
      <c r="G133" s="8">
        <f>IFERROR(IF(B133&lt;&gt;"",INDEX('직원 마스터'!B$2:B$31,MATCH(1,('직원 마스터'!A$2:A$31=B133)*('직원 마스터'!F$2:F$31&lt;=(YEAR(A133)*100+MONTH(A133)))*(('직원 마스터'!G$2:G$31="")+('직원 마스터'!G$2:G$31&gt;=(YEAR(A133)*100+MONTH(A133)))),0)),""),"")</f>
        <v/>
      </c>
      <c r="H133" s="2" t="n"/>
    </row>
    <row r="134">
      <c r="A134" s="5" t="n">
        <v>45852</v>
      </c>
      <c r="B134" s="2" t="inlineStr">
        <is>
          <t>고경민</t>
        </is>
      </c>
      <c r="C134" s="6" t="n">
        <v>0.5833333333333334</v>
      </c>
      <c r="D134" s="6" t="n">
        <v>0.7916666666666666</v>
      </c>
      <c r="E134" s="7">
        <f>IF(AND(C134&lt;&gt;"",D134&lt;&gt;""),D134-C134,0)</f>
        <v/>
      </c>
      <c r="F134" s="3" t="n">
        <v>60000</v>
      </c>
      <c r="G134" s="8">
        <f>IFERROR(IF(B134&lt;&gt;"",INDEX('직원 마스터'!B$2:B$31,MATCH(1,('직원 마스터'!A$2:A$31=B134)*('직원 마스터'!F$2:F$31&lt;=(YEAR(A134)*100+MONTH(A134)))*(('직원 마스터'!G$2:G$31="")+('직원 마스터'!G$2:G$31&gt;=(YEAR(A134)*100+MONTH(A134)))),0)),""),"")</f>
        <v/>
      </c>
      <c r="H134" s="2" t="n"/>
    </row>
    <row r="135">
      <c r="A135" s="5" t="n">
        <v>45853</v>
      </c>
      <c r="B135" s="2" t="inlineStr">
        <is>
          <t>고경민</t>
        </is>
      </c>
      <c r="C135" s="6" t="n">
        <v>0.5833333333333334</v>
      </c>
      <c r="D135" s="6" t="n">
        <v>0.7916666666666666</v>
      </c>
      <c r="E135" s="7">
        <f>IF(AND(C135&lt;&gt;"",D135&lt;&gt;""),D135-C135,0)</f>
        <v/>
      </c>
      <c r="F135" s="3" t="n">
        <v>60000</v>
      </c>
      <c r="G135" s="8">
        <f>IFERROR(IF(B135&lt;&gt;"",INDEX('직원 마스터'!B$2:B$31,MATCH(1,('직원 마스터'!A$2:A$31=B135)*('직원 마스터'!F$2:F$31&lt;=(YEAR(A135)*100+MONTH(A135)))*(('직원 마스터'!G$2:G$31="")+('직원 마스터'!G$2:G$31&gt;=(YEAR(A135)*100+MONTH(A135)))),0)),""),"")</f>
        <v/>
      </c>
      <c r="H135" s="2" t="n"/>
    </row>
    <row r="136">
      <c r="A136" s="5" t="n">
        <v>45854</v>
      </c>
      <c r="B136" s="2" t="inlineStr">
        <is>
          <t>고경민</t>
        </is>
      </c>
      <c r="C136" s="6" t="n">
        <v>0.5833333333333334</v>
      </c>
      <c r="D136" s="6" t="n">
        <v>0.7916666666666666</v>
      </c>
      <c r="E136" s="7">
        <f>IF(AND(C136&lt;&gt;"",D136&lt;&gt;""),D136-C136,0)</f>
        <v/>
      </c>
      <c r="F136" s="3" t="n">
        <v>60000</v>
      </c>
      <c r="G136" s="8">
        <f>IFERROR(IF(B136&lt;&gt;"",INDEX('직원 마스터'!B$2:B$31,MATCH(1,('직원 마스터'!A$2:A$31=B136)*('직원 마스터'!F$2:F$31&lt;=(YEAR(A136)*100+MONTH(A136)))*(('직원 마스터'!G$2:G$31="")+('직원 마스터'!G$2:G$31&gt;=(YEAR(A136)*100+MONTH(A136)))),0)),""),"")</f>
        <v/>
      </c>
      <c r="H136" s="2" t="n"/>
    </row>
    <row r="137">
      <c r="A137" s="5" t="n">
        <v>45855</v>
      </c>
      <c r="B137" s="2" t="inlineStr">
        <is>
          <t>장예원</t>
        </is>
      </c>
      <c r="C137" s="6" t="n">
        <v>0.5833333333333334</v>
      </c>
      <c r="D137" s="6" t="n">
        <v>0.7916666666666666</v>
      </c>
      <c r="E137" s="7">
        <f>IF(AND(C137&lt;&gt;"",D137&lt;&gt;""),D137-C137,0)</f>
        <v/>
      </c>
      <c r="F137" s="3" t="n">
        <v>60000</v>
      </c>
      <c r="G137" s="8">
        <f>IFERROR(IF(B137&lt;&gt;"",INDEX('직원 마스터'!B$2:B$31,MATCH(1,('직원 마스터'!A$2:A$31=B137)*('직원 마스터'!F$2:F$31&lt;=(YEAR(A137)*100+MONTH(A137)))*(('직원 마스터'!G$2:G$31="")+('직원 마스터'!G$2:G$31&gt;=(YEAR(A137)*100+MONTH(A137)))),0)),""),"")</f>
        <v/>
      </c>
      <c r="H137" s="2" t="n"/>
    </row>
    <row r="138">
      <c r="A138" s="5" t="n">
        <v>45856</v>
      </c>
      <c r="B138" s="2" t="inlineStr">
        <is>
          <t>장예원</t>
        </is>
      </c>
      <c r="C138" s="6" t="n">
        <v>0.5833333333333334</v>
      </c>
      <c r="D138" s="6" t="n">
        <v>0.7916666666666666</v>
      </c>
      <c r="E138" s="7">
        <f>IF(AND(C138&lt;&gt;"",D138&lt;&gt;""),D138-C138,0)</f>
        <v/>
      </c>
      <c r="F138" s="3" t="n">
        <v>60000</v>
      </c>
      <c r="G138" s="8">
        <f>IFERROR(IF(B138&lt;&gt;"",INDEX('직원 마스터'!B$2:B$31,MATCH(1,('직원 마스터'!A$2:A$31=B138)*('직원 마스터'!F$2:F$31&lt;=(YEAR(A138)*100+MONTH(A138)))*(('직원 마스터'!G$2:G$31="")+('직원 마스터'!G$2:G$31&gt;=(YEAR(A138)*100+MONTH(A138)))),0)),""),"")</f>
        <v/>
      </c>
      <c r="H138" s="2" t="n"/>
    </row>
    <row r="139">
      <c r="A139" s="5" t="n">
        <v>45857</v>
      </c>
      <c r="B139" s="2" t="inlineStr">
        <is>
          <t>장예원</t>
        </is>
      </c>
      <c r="C139" s="6" t="n">
        <v>0.4375</v>
      </c>
      <c r="D139" s="6" t="n">
        <v>0.6041666666666666</v>
      </c>
      <c r="E139" s="7">
        <f>IF(AND(C139&lt;&gt;"",D139&lt;&gt;""),D139-C139,0)</f>
        <v/>
      </c>
      <c r="F139" s="3" t="n">
        <v>48000</v>
      </c>
      <c r="G139" s="8">
        <f>IFERROR(IF(B139&lt;&gt;"",INDEX('직원 마스터'!B$2:B$31,MATCH(1,('직원 마스터'!A$2:A$31=B139)*('직원 마스터'!F$2:F$31&lt;=(YEAR(A139)*100+MONTH(A139)))*(('직원 마스터'!G$2:G$31="")+('직원 마스터'!G$2:G$31&gt;=(YEAR(A139)*100+MONTH(A139)))),0)),""),"")</f>
        <v/>
      </c>
      <c r="H139" s="2" t="n"/>
    </row>
    <row r="140">
      <c r="A140" s="5" t="n">
        <v>45859</v>
      </c>
      <c r="B140" s="2" t="inlineStr">
        <is>
          <t>고경민</t>
        </is>
      </c>
      <c r="C140" s="6" t="n">
        <v>0.625</v>
      </c>
      <c r="D140" s="6" t="n">
        <v>0.7916666666666666</v>
      </c>
      <c r="E140" s="7">
        <f>IF(AND(C140&lt;&gt;"",D140&lt;&gt;""),D140-C140,0)</f>
        <v/>
      </c>
      <c r="F140" s="3" t="n">
        <v>48000</v>
      </c>
      <c r="G140" s="8">
        <f>IFERROR(IF(B140&lt;&gt;"",INDEX('직원 마스터'!B$2:B$31,MATCH(1,('직원 마스터'!A$2:A$31=B140)*('직원 마스터'!F$2:F$31&lt;=(YEAR(A140)*100+MONTH(A140)))*(('직원 마스터'!G$2:G$31="")+('직원 마스터'!G$2:G$31&gt;=(YEAR(A140)*100+MONTH(A140)))),0)),""),"")</f>
        <v/>
      </c>
      <c r="H140" s="2" t="n"/>
    </row>
    <row r="141">
      <c r="A141" s="5" t="n">
        <v>45860</v>
      </c>
      <c r="B141" s="2" t="inlineStr">
        <is>
          <t>고경민</t>
        </is>
      </c>
      <c r="C141" s="6" t="n">
        <v>0.625</v>
      </c>
      <c r="D141" s="6" t="n">
        <v>0.7916666666666666</v>
      </c>
      <c r="E141" s="7">
        <f>IF(AND(C141&lt;&gt;"",D141&lt;&gt;""),D141-C141,0)</f>
        <v/>
      </c>
      <c r="F141" s="3" t="n">
        <v>48000</v>
      </c>
      <c r="G141" s="8">
        <f>IFERROR(IF(B141&lt;&gt;"",INDEX('직원 마스터'!B$2:B$31,MATCH(1,('직원 마스터'!A$2:A$31=B141)*('직원 마스터'!F$2:F$31&lt;=(YEAR(A141)*100+MONTH(A141)))*(('직원 마스터'!G$2:G$31="")+('직원 마스터'!G$2:G$31&gt;=(YEAR(A141)*100+MONTH(A141)))),0)),""),"")</f>
        <v/>
      </c>
      <c r="H141" s="2" t="n"/>
    </row>
    <row r="142">
      <c r="A142" s="5" t="n">
        <v>45861</v>
      </c>
      <c r="B142" s="2" t="inlineStr">
        <is>
          <t>고경민</t>
        </is>
      </c>
      <c r="C142" s="6" t="n">
        <v>0.5833333333333334</v>
      </c>
      <c r="D142" s="6" t="n">
        <v>0.75</v>
      </c>
      <c r="E142" s="7">
        <f>IF(AND(C142&lt;&gt;"",D142&lt;&gt;""),D142-C142,0)</f>
        <v/>
      </c>
      <c r="F142" s="3" t="n">
        <v>48000</v>
      </c>
      <c r="G142" s="8">
        <f>IFERROR(IF(B142&lt;&gt;"",INDEX('직원 마스터'!B$2:B$31,MATCH(1,('직원 마스터'!A$2:A$31=B142)*('직원 마스터'!F$2:F$31&lt;=(YEAR(A142)*100+MONTH(A142)))*(('직원 마스터'!G$2:G$31="")+('직원 마스터'!G$2:G$31&gt;=(YEAR(A142)*100+MONTH(A142)))),0)),""),"")</f>
        <v/>
      </c>
      <c r="H142" s="2" t="n"/>
    </row>
    <row r="143">
      <c r="A143" s="5" t="n">
        <v>45862</v>
      </c>
      <c r="B143" s="2" t="inlineStr">
        <is>
          <t>김채현</t>
        </is>
      </c>
      <c r="C143" s="6" t="n">
        <v>0.5833333333333334</v>
      </c>
      <c r="D143" s="6" t="n">
        <v>0.7916666666666666</v>
      </c>
      <c r="E143" s="7">
        <f>IF(AND(C143&lt;&gt;"",D143&lt;&gt;""),D143-C143,0)</f>
        <v/>
      </c>
      <c r="F143" s="3" t="n">
        <v>60000</v>
      </c>
      <c r="G143" s="8">
        <f>IFERROR(IF(B143&lt;&gt;"",INDEX('직원 마스터'!B$2:B$31,MATCH(1,('직원 마스터'!A$2:A$31=B143)*('직원 마스터'!F$2:F$31&lt;=(YEAR(A143)*100+MONTH(A143)))*(('직원 마스터'!G$2:G$31="")+('직원 마스터'!G$2:G$31&gt;=(YEAR(A143)*100+MONTH(A143)))),0)),""),"")</f>
        <v/>
      </c>
      <c r="H143" s="2" t="n"/>
    </row>
    <row r="144">
      <c r="A144" s="5" t="n">
        <v>45863</v>
      </c>
      <c r="B144" s="2" t="inlineStr">
        <is>
          <t>김채현</t>
        </is>
      </c>
      <c r="C144" s="6" t="n">
        <v>0.5833333333333334</v>
      </c>
      <c r="D144" s="6" t="n">
        <v>0.7916666666666666</v>
      </c>
      <c r="E144" s="7">
        <f>IF(AND(C144&lt;&gt;"",D144&lt;&gt;""),D144-C144,0)</f>
        <v/>
      </c>
      <c r="F144" s="3" t="n">
        <v>60000</v>
      </c>
      <c r="G144" s="8">
        <f>IFERROR(IF(B144&lt;&gt;"",INDEX('직원 마스터'!B$2:B$31,MATCH(1,('직원 마스터'!A$2:A$31=B144)*('직원 마스터'!F$2:F$31&lt;=(YEAR(A144)*100+MONTH(A144)))*(('직원 마스터'!G$2:G$31="")+('직원 마스터'!G$2:G$31&gt;=(YEAR(A144)*100+MONTH(A144)))),0)),""),"")</f>
        <v/>
      </c>
      <c r="H144" s="2" t="n"/>
    </row>
    <row r="145">
      <c r="A145" s="5" t="n">
        <v>45864</v>
      </c>
      <c r="B145" s="2" t="inlineStr">
        <is>
          <t>김채현</t>
        </is>
      </c>
      <c r="C145" s="6" t="n">
        <v>0.4375</v>
      </c>
      <c r="D145" s="6" t="n">
        <v>0.6041666666666666</v>
      </c>
      <c r="E145" s="7">
        <f>IF(AND(C145&lt;&gt;"",D145&lt;&gt;""),D145-C145,0)</f>
        <v/>
      </c>
      <c r="F145" s="3" t="n">
        <v>48000</v>
      </c>
      <c r="G145" s="8">
        <f>IFERROR(IF(B145&lt;&gt;"",INDEX('직원 마스터'!B$2:B$31,MATCH(1,('직원 마스터'!A$2:A$31=B145)*('직원 마스터'!F$2:F$31&lt;=(YEAR(A145)*100+MONTH(A145)))*(('직원 마스터'!G$2:G$31="")+('직원 마스터'!G$2:G$31&gt;=(YEAR(A145)*100+MONTH(A145)))),0)),""),"")</f>
        <v/>
      </c>
      <c r="H145" s="2" t="n"/>
    </row>
    <row r="146">
      <c r="A146" s="5" t="n">
        <v>45866</v>
      </c>
      <c r="B146" s="2" t="inlineStr">
        <is>
          <t>고경민</t>
        </is>
      </c>
      <c r="C146" s="6" t="n">
        <v>0.625</v>
      </c>
      <c r="D146" s="6" t="n">
        <v>0.7916666666666666</v>
      </c>
      <c r="E146" s="7">
        <f>IF(AND(C146&lt;&gt;"",D146&lt;&gt;""),D146-C146,0)</f>
        <v/>
      </c>
      <c r="F146" s="3" t="n">
        <v>48000</v>
      </c>
      <c r="G146" s="8">
        <f>IFERROR(IF(B146&lt;&gt;"",INDEX('직원 마스터'!B$2:B$31,MATCH(1,('직원 마스터'!A$2:A$31=B146)*('직원 마스터'!F$2:F$31&lt;=(YEAR(A146)*100+MONTH(A146)))*(('직원 마스터'!G$2:G$31="")+('직원 마스터'!G$2:G$31&gt;=(YEAR(A146)*100+MONTH(A146)))),0)),""),"")</f>
        <v/>
      </c>
      <c r="H146" s="2" t="n"/>
    </row>
    <row r="147">
      <c r="A147" s="5" t="n">
        <v>45867</v>
      </c>
      <c r="B147" s="2" t="inlineStr">
        <is>
          <t>고경민</t>
        </is>
      </c>
      <c r="C147" s="6" t="n">
        <v>0.625</v>
      </c>
      <c r="D147" s="6" t="n">
        <v>0.7916666666666666</v>
      </c>
      <c r="E147" s="7">
        <f>IF(AND(C147&lt;&gt;"",D147&lt;&gt;""),D147-C147,0)</f>
        <v/>
      </c>
      <c r="F147" s="3" t="n">
        <v>48000</v>
      </c>
      <c r="G147" s="8">
        <f>IFERROR(IF(B147&lt;&gt;"",INDEX('직원 마스터'!B$2:B$31,MATCH(1,('직원 마스터'!A$2:A$31=B147)*('직원 마스터'!F$2:F$31&lt;=(YEAR(A147)*100+MONTH(A147)))*(('직원 마스터'!G$2:G$31="")+('직원 마스터'!G$2:G$31&gt;=(YEAR(A147)*100+MONTH(A147)))),0)),""),"")</f>
        <v/>
      </c>
      <c r="H147" s="2" t="n"/>
    </row>
    <row r="148">
      <c r="A148" s="5" t="n">
        <v>45868</v>
      </c>
      <c r="B148" s="2" t="inlineStr">
        <is>
          <t>고경민</t>
        </is>
      </c>
      <c r="C148" s="6" t="n">
        <v>0.625</v>
      </c>
      <c r="D148" s="6" t="n">
        <v>0.7916666666666666</v>
      </c>
      <c r="E148" s="7">
        <f>IF(AND(C148&lt;&gt;"",D148&lt;&gt;""),D148-C148,0)</f>
        <v/>
      </c>
      <c r="F148" s="3" t="n">
        <v>48000</v>
      </c>
      <c r="G148" s="8">
        <f>IFERROR(IF(B148&lt;&gt;"",INDEX('직원 마스터'!B$2:B$31,MATCH(1,('직원 마스터'!A$2:A$31=B148)*('직원 마스터'!F$2:F$31&lt;=(YEAR(A148)*100+MONTH(A148)))*(('직원 마스터'!G$2:G$31="")+('직원 마스터'!G$2:G$31&gt;=(YEAR(A148)*100+MONTH(A148)))),0)),""),"")</f>
        <v/>
      </c>
      <c r="H148" s="2" t="n"/>
    </row>
    <row r="149">
      <c r="A149" s="5" t="n">
        <v>45869</v>
      </c>
      <c r="B149" s="2" t="inlineStr">
        <is>
          <t>김채현</t>
        </is>
      </c>
      <c r="C149" s="6" t="n">
        <v>0.5833333333333334</v>
      </c>
      <c r="D149" s="6" t="n">
        <v>0.7916666666666666</v>
      </c>
      <c r="E149" s="7">
        <f>IF(AND(C149&lt;&gt;"",D149&lt;&gt;""),D149-C149,0)</f>
        <v/>
      </c>
      <c r="F149" s="3" t="n">
        <v>60000</v>
      </c>
      <c r="G149" s="8">
        <f>IFERROR(IF(B149&lt;&gt;"",INDEX('직원 마스터'!B$2:B$31,MATCH(1,('직원 마스터'!A$2:A$31=B149)*('직원 마스터'!F$2:F$31&lt;=(YEAR(A149)*100+MONTH(A149)))*(('직원 마스터'!G$2:G$31="")+('직원 마스터'!G$2:G$31&gt;=(YEAR(A149)*100+MONTH(A149)))),0)),""),"")</f>
        <v/>
      </c>
      <c r="H149" s="2" t="n"/>
    </row>
    <row r="150">
      <c r="A150" s="5" t="n">
        <v>45870</v>
      </c>
      <c r="B150" s="2" t="inlineStr">
        <is>
          <t>김채현</t>
        </is>
      </c>
      <c r="C150" s="6" t="n">
        <v>0.5833333333333334</v>
      </c>
      <c r="D150" s="6" t="n">
        <v>0.7916666666666666</v>
      </c>
      <c r="E150" s="7">
        <f>IF(AND(C150&lt;&gt;"",D150&lt;&gt;""),D150-C150,0)</f>
        <v/>
      </c>
      <c r="F150" s="3" t="n">
        <v>60000</v>
      </c>
      <c r="G150" s="8">
        <f>IFERROR(IF(B150&lt;&gt;"",INDEX('직원 마스터'!B$2:B$31,MATCH(1,('직원 마스터'!A$2:A$31=B150)*('직원 마스터'!F$2:F$31&lt;=(YEAR(A150)*100+MONTH(A150)))*(('직원 마스터'!G$2:G$31="")+('직원 마스터'!G$2:G$31&gt;=(YEAR(A150)*100+MONTH(A150)))),0)),""),"")</f>
        <v/>
      </c>
      <c r="H150" s="2" t="n"/>
    </row>
    <row r="151">
      <c r="A151" s="5" t="n">
        <v>45871</v>
      </c>
      <c r="B151" s="2" t="inlineStr">
        <is>
          <t>김채현</t>
        </is>
      </c>
      <c r="C151" s="6" t="n">
        <v>0.4375</v>
      </c>
      <c r="D151" s="6" t="n">
        <v>0.6041666666666666</v>
      </c>
      <c r="E151" s="7">
        <f>IF(AND(C151&lt;&gt;"",D151&lt;&gt;""),D151-C151,0)</f>
        <v/>
      </c>
      <c r="F151" s="3" t="n">
        <v>48000</v>
      </c>
      <c r="G151" s="8">
        <f>IFERROR(IF(B151&lt;&gt;"",INDEX('직원 마스터'!B$2:B$31,MATCH(1,('직원 마스터'!A$2:A$31=B151)*('직원 마스터'!F$2:F$31&lt;=(YEAR(A151)*100+MONTH(A151)))*(('직원 마스터'!G$2:G$31="")+('직원 마스터'!G$2:G$31&gt;=(YEAR(A151)*100+MONTH(A151)))),0)),""),"")</f>
        <v/>
      </c>
      <c r="H151" s="2" t="n"/>
    </row>
    <row r="152">
      <c r="A152" s="5" t="n">
        <v>45873</v>
      </c>
      <c r="B152" s="2" t="inlineStr">
        <is>
          <t>고경민</t>
        </is>
      </c>
      <c r="C152" s="6" t="n">
        <v>0.625</v>
      </c>
      <c r="D152" s="6" t="n">
        <v>0.7916666666666666</v>
      </c>
      <c r="E152" s="7">
        <f>IF(AND(C152&lt;&gt;"",D152&lt;&gt;""),D152-C152,0)</f>
        <v/>
      </c>
      <c r="F152" s="3" t="n">
        <v>48000</v>
      </c>
      <c r="G152" s="8">
        <f>IFERROR(IF(B152&lt;&gt;"",INDEX('직원 마스터'!B$2:B$31,MATCH(1,('직원 마스터'!A$2:A$31=B152)*('직원 마스터'!F$2:F$31&lt;=(YEAR(A152)*100+MONTH(A152)))*(('직원 마스터'!G$2:G$31="")+('직원 마스터'!G$2:G$31&gt;=(YEAR(A152)*100+MONTH(A152)))),0)),""),"")</f>
        <v/>
      </c>
      <c r="H152" s="2" t="n"/>
    </row>
    <row r="153">
      <c r="A153" s="5" t="n">
        <v>45874</v>
      </c>
      <c r="B153" s="2" t="inlineStr">
        <is>
          <t>고경민</t>
        </is>
      </c>
      <c r="C153" s="6" t="n">
        <v>0.625</v>
      </c>
      <c r="D153" s="6" t="n">
        <v>0.7916666666666666</v>
      </c>
      <c r="E153" s="7">
        <f>IF(AND(C153&lt;&gt;"",D153&lt;&gt;""),D153-C153,0)</f>
        <v/>
      </c>
      <c r="F153" s="3" t="n">
        <v>48000</v>
      </c>
      <c r="G153" s="8">
        <f>IFERROR(IF(B153&lt;&gt;"",INDEX('직원 마스터'!B$2:B$31,MATCH(1,('직원 마스터'!A$2:A$31=B153)*('직원 마스터'!F$2:F$31&lt;=(YEAR(A153)*100+MONTH(A153)))*(('직원 마스터'!G$2:G$31="")+('직원 마스터'!G$2:G$31&gt;=(YEAR(A153)*100+MONTH(A153)))),0)),""),"")</f>
        <v/>
      </c>
      <c r="H153" s="2" t="n"/>
    </row>
    <row r="154">
      <c r="A154" s="5" t="n">
        <v>45875</v>
      </c>
      <c r="B154" s="2" t="inlineStr">
        <is>
          <t>고경민</t>
        </is>
      </c>
      <c r="C154" s="6" t="n">
        <v>0.625</v>
      </c>
      <c r="D154" s="6" t="n">
        <v>0.7916666666666666</v>
      </c>
      <c r="E154" s="7">
        <f>IF(AND(C154&lt;&gt;"",D154&lt;&gt;""),D154-C154,0)</f>
        <v/>
      </c>
      <c r="F154" s="3" t="n">
        <v>48000</v>
      </c>
      <c r="G154" s="8">
        <f>IFERROR(IF(B154&lt;&gt;"",INDEX('직원 마스터'!B$2:B$31,MATCH(1,('직원 마스터'!A$2:A$31=B154)*('직원 마스터'!F$2:F$31&lt;=(YEAR(A154)*100+MONTH(A154)))*(('직원 마스터'!G$2:G$31="")+('직원 마스터'!G$2:G$31&gt;=(YEAR(A154)*100+MONTH(A154)))),0)),""),"")</f>
        <v/>
      </c>
      <c r="H154" s="2" t="n"/>
    </row>
    <row r="155">
      <c r="A155" s="5" t="n">
        <v>45876</v>
      </c>
      <c r="B155" s="2" t="inlineStr">
        <is>
          <t>김채현</t>
        </is>
      </c>
      <c r="C155" s="6" t="n">
        <v>0.5833333333333334</v>
      </c>
      <c r="D155" s="6" t="n">
        <v>0.7916666666666666</v>
      </c>
      <c r="E155" s="7">
        <f>IF(AND(C155&lt;&gt;"",D155&lt;&gt;""),D155-C155,0)</f>
        <v/>
      </c>
      <c r="F155" s="3" t="n">
        <v>60000</v>
      </c>
      <c r="G155" s="8">
        <f>IFERROR(IF(B155&lt;&gt;"",INDEX('직원 마스터'!B$2:B$31,MATCH(1,('직원 마스터'!A$2:A$31=B155)*('직원 마스터'!F$2:F$31&lt;=(YEAR(A155)*100+MONTH(A155)))*(('직원 마스터'!G$2:G$31="")+('직원 마스터'!G$2:G$31&gt;=(YEAR(A155)*100+MONTH(A155)))),0)),""),"")</f>
        <v/>
      </c>
      <c r="H155" s="2" t="n"/>
    </row>
    <row r="156">
      <c r="A156" s="5" t="n">
        <v>45877</v>
      </c>
      <c r="B156" s="2" t="inlineStr">
        <is>
          <t>김채현</t>
        </is>
      </c>
      <c r="C156" s="6" t="n">
        <v>0.5833333333333334</v>
      </c>
      <c r="D156" s="6" t="n">
        <v>0.7916666666666666</v>
      </c>
      <c r="E156" s="7">
        <f>IF(AND(C156&lt;&gt;"",D156&lt;&gt;""),D156-C156,0)</f>
        <v/>
      </c>
      <c r="F156" s="3" t="n">
        <v>60000</v>
      </c>
      <c r="G156" s="8">
        <f>IFERROR(IF(B156&lt;&gt;"",INDEX('직원 마스터'!B$2:B$31,MATCH(1,('직원 마스터'!A$2:A$31=B156)*('직원 마스터'!F$2:F$31&lt;=(YEAR(A156)*100+MONTH(A156)))*(('직원 마스터'!G$2:G$31="")+('직원 마스터'!G$2:G$31&gt;=(YEAR(A156)*100+MONTH(A156)))),0)),""),"")</f>
        <v/>
      </c>
      <c r="H156" s="2" t="n"/>
    </row>
    <row r="157">
      <c r="A157" s="5" t="n">
        <v>45878</v>
      </c>
      <c r="B157" s="2" t="inlineStr">
        <is>
          <t>김채현</t>
        </is>
      </c>
      <c r="C157" s="6" t="n">
        <v>0.4375</v>
      </c>
      <c r="D157" s="6" t="n">
        <v>0.6041666666666666</v>
      </c>
      <c r="E157" s="7">
        <f>IF(AND(C157&lt;&gt;"",D157&lt;&gt;""),D157-C157,0)</f>
        <v/>
      </c>
      <c r="F157" s="3" t="n">
        <v>48000</v>
      </c>
      <c r="G157" s="8">
        <f>IFERROR(IF(B157&lt;&gt;"",INDEX('직원 마스터'!B$2:B$31,MATCH(1,('직원 마스터'!A$2:A$31=B157)*('직원 마스터'!F$2:F$31&lt;=(YEAR(A157)*100+MONTH(A157)))*(('직원 마스터'!G$2:G$31="")+('직원 마스터'!G$2:G$31&gt;=(YEAR(A157)*100+MONTH(A157)))),0)),""),"")</f>
        <v/>
      </c>
      <c r="H157" s="2" t="n"/>
    </row>
    <row r="158">
      <c r="A158" s="5" t="n">
        <v>45880</v>
      </c>
      <c r="B158" s="2" t="inlineStr">
        <is>
          <t>고경민</t>
        </is>
      </c>
      <c r="C158" s="6" t="n">
        <v>0.625</v>
      </c>
      <c r="D158" s="6" t="n">
        <v>0.7916666666666666</v>
      </c>
      <c r="E158" s="7">
        <f>IF(AND(C158&lt;&gt;"",D158&lt;&gt;""),D158-C158,0)</f>
        <v/>
      </c>
      <c r="F158" s="3" t="n">
        <v>48000</v>
      </c>
      <c r="G158" s="8">
        <f>IFERROR(IF(B158&lt;&gt;"",INDEX('직원 마스터'!B$2:B$31,MATCH(1,('직원 마스터'!A$2:A$31=B158)*('직원 마스터'!F$2:F$31&lt;=(YEAR(A158)*100+MONTH(A158)))*(('직원 마스터'!G$2:G$31="")+('직원 마스터'!G$2:G$31&gt;=(YEAR(A158)*100+MONTH(A158)))),0)),""),"")</f>
        <v/>
      </c>
      <c r="H158" s="2" t="n"/>
    </row>
    <row r="159">
      <c r="A159" s="5" t="n">
        <v>45881</v>
      </c>
      <c r="B159" s="2" t="inlineStr">
        <is>
          <t>고경민</t>
        </is>
      </c>
      <c r="C159" s="6" t="n">
        <v>0.625</v>
      </c>
      <c r="D159" s="6" t="n">
        <v>0.7916666666666666</v>
      </c>
      <c r="E159" s="7">
        <f>IF(AND(C159&lt;&gt;"",D159&lt;&gt;""),D159-C159,0)</f>
        <v/>
      </c>
      <c r="F159" s="3" t="n">
        <v>48000</v>
      </c>
      <c r="G159" s="8">
        <f>IFERROR(IF(B159&lt;&gt;"",INDEX('직원 마스터'!B$2:B$31,MATCH(1,('직원 마스터'!A$2:A$31=B159)*('직원 마스터'!F$2:F$31&lt;=(YEAR(A159)*100+MONTH(A159)))*(('직원 마스터'!G$2:G$31="")+('직원 마스터'!G$2:G$31&gt;=(YEAR(A159)*100+MONTH(A159)))),0)),""),"")</f>
        <v/>
      </c>
      <c r="H159" s="2" t="n"/>
    </row>
    <row r="160">
      <c r="A160" s="5" t="n">
        <v>45882</v>
      </c>
      <c r="B160" s="2" t="inlineStr">
        <is>
          <t>고경민</t>
        </is>
      </c>
      <c r="C160" s="6" t="n">
        <v>0.625</v>
      </c>
      <c r="D160" s="6" t="n">
        <v>0.7916666666666666</v>
      </c>
      <c r="E160" s="7">
        <f>IF(AND(C160&lt;&gt;"",D160&lt;&gt;""),D160-C160,0)</f>
        <v/>
      </c>
      <c r="F160" s="3" t="n">
        <v>48000</v>
      </c>
      <c r="G160" s="8">
        <f>IFERROR(IF(B160&lt;&gt;"",INDEX('직원 마스터'!B$2:B$31,MATCH(1,('직원 마스터'!A$2:A$31=B160)*('직원 마스터'!F$2:F$31&lt;=(YEAR(A160)*100+MONTH(A160)))*(('직원 마스터'!G$2:G$31="")+('직원 마스터'!G$2:G$31&gt;=(YEAR(A160)*100+MONTH(A160)))),0)),""),"")</f>
        <v/>
      </c>
      <c r="H160" s="2" t="n"/>
    </row>
    <row r="161">
      <c r="A161" s="5" t="n">
        <v>45883</v>
      </c>
      <c r="B161" s="2" t="inlineStr">
        <is>
          <t>김채현</t>
        </is>
      </c>
      <c r="C161" s="6" t="n">
        <v>0.5833333333333334</v>
      </c>
      <c r="D161" s="6" t="n">
        <v>0.7916666666666666</v>
      </c>
      <c r="E161" s="7">
        <f>IF(AND(C161&lt;&gt;"",D161&lt;&gt;""),D161-C161,0)</f>
        <v/>
      </c>
      <c r="F161" s="3" t="n">
        <v>60000</v>
      </c>
      <c r="G161" s="8">
        <f>IFERROR(IF(B161&lt;&gt;"",INDEX('직원 마스터'!B$2:B$31,MATCH(1,('직원 마스터'!A$2:A$31=B161)*('직원 마스터'!F$2:F$31&lt;=(YEAR(A161)*100+MONTH(A161)))*(('직원 마스터'!G$2:G$31="")+('직원 마스터'!G$2:G$31&gt;=(YEAR(A161)*100+MONTH(A161)))),0)),""),"")</f>
        <v/>
      </c>
      <c r="H161" s="2" t="n"/>
    </row>
    <row r="162">
      <c r="A162" s="5" t="n">
        <v>45885</v>
      </c>
      <c r="B162" s="2" t="inlineStr">
        <is>
          <t>김채현</t>
        </is>
      </c>
      <c r="C162" s="6" t="n">
        <v>0.4375</v>
      </c>
      <c r="D162" s="6" t="n">
        <v>0.6041666666666666</v>
      </c>
      <c r="E162" s="7">
        <f>IF(AND(C162&lt;&gt;"",D162&lt;&gt;""),D162-C162,0)</f>
        <v/>
      </c>
      <c r="F162" s="3" t="n">
        <v>48000</v>
      </c>
      <c r="G162" s="8">
        <f>IFERROR(IF(B162&lt;&gt;"",INDEX('직원 마스터'!B$2:B$31,MATCH(1,('직원 마스터'!A$2:A$31=B162)*('직원 마스터'!F$2:F$31&lt;=(YEAR(A162)*100+MONTH(A162)))*(('직원 마스터'!G$2:G$31="")+('직원 마스터'!G$2:G$31&gt;=(YEAR(A162)*100+MONTH(A162)))),0)),""),"")</f>
        <v/>
      </c>
      <c r="H162" s="2" t="n"/>
    </row>
    <row r="163">
      <c r="A163" s="5" t="n">
        <v>45887</v>
      </c>
      <c r="B163" s="2" t="inlineStr">
        <is>
          <t>고경민</t>
        </is>
      </c>
      <c r="C163" s="6" t="n">
        <v>0.625</v>
      </c>
      <c r="D163" s="6" t="n">
        <v>0.7916666666666666</v>
      </c>
      <c r="E163" s="7">
        <f>IF(AND(C163&lt;&gt;"",D163&lt;&gt;""),D163-C163,0)</f>
        <v/>
      </c>
      <c r="F163" s="3" t="n">
        <v>48000</v>
      </c>
      <c r="G163" s="8">
        <f>IFERROR(IF(B163&lt;&gt;"",INDEX('직원 마스터'!B$2:B$31,MATCH(1,('직원 마스터'!A$2:A$31=B163)*('직원 마스터'!F$2:F$31&lt;=(YEAR(A163)*100+MONTH(A163)))*(('직원 마스터'!G$2:G$31="")+('직원 마스터'!G$2:G$31&gt;=(YEAR(A163)*100+MONTH(A163)))),0)),""),"")</f>
        <v/>
      </c>
      <c r="H163" s="2" t="n"/>
    </row>
    <row r="164">
      <c r="A164" s="5" t="n">
        <v>45888</v>
      </c>
      <c r="B164" s="2" t="inlineStr">
        <is>
          <t>고경민</t>
        </is>
      </c>
      <c r="C164" s="6" t="n">
        <v>0.625</v>
      </c>
      <c r="D164" s="6" t="n">
        <v>0.7916666666666666</v>
      </c>
      <c r="E164" s="7">
        <f>IF(AND(C164&lt;&gt;"",D164&lt;&gt;""),D164-C164,0)</f>
        <v/>
      </c>
      <c r="F164" s="3" t="n">
        <v>48000</v>
      </c>
      <c r="G164" s="8">
        <f>IFERROR(IF(B164&lt;&gt;"",INDEX('직원 마스터'!B$2:B$31,MATCH(1,('직원 마스터'!A$2:A$31=B164)*('직원 마스터'!F$2:F$31&lt;=(YEAR(A164)*100+MONTH(A164)))*(('직원 마스터'!G$2:G$31="")+('직원 마스터'!G$2:G$31&gt;=(YEAR(A164)*100+MONTH(A164)))),0)),""),"")</f>
        <v/>
      </c>
      <c r="H164" s="2" t="n"/>
    </row>
    <row r="165">
      <c r="A165" s="5" t="n">
        <v>45889</v>
      </c>
      <c r="B165" s="2" t="inlineStr">
        <is>
          <t>고경민</t>
        </is>
      </c>
      <c r="C165" s="6" t="n">
        <v>0.625</v>
      </c>
      <c r="D165" s="6" t="n">
        <v>0.7916666666666666</v>
      </c>
      <c r="E165" s="7">
        <f>IF(AND(C165&lt;&gt;"",D165&lt;&gt;""),D165-C165,0)</f>
        <v/>
      </c>
      <c r="F165" s="3" t="n">
        <v>48000</v>
      </c>
      <c r="G165" s="8">
        <f>IFERROR(IF(B165&lt;&gt;"",INDEX('직원 마스터'!B$2:B$31,MATCH(1,('직원 마스터'!A$2:A$31=B165)*('직원 마스터'!F$2:F$31&lt;=(YEAR(A165)*100+MONTH(A165)))*(('직원 마스터'!G$2:G$31="")+('직원 마스터'!G$2:G$31&gt;=(YEAR(A165)*100+MONTH(A165)))),0)),""),"")</f>
        <v/>
      </c>
      <c r="H165" s="2" t="n"/>
    </row>
    <row r="166">
      <c r="A166" s="5" t="n">
        <v>45890</v>
      </c>
      <c r="B166" s="2" t="inlineStr">
        <is>
          <t>김채현</t>
        </is>
      </c>
      <c r="C166" s="6" t="n">
        <v>0.5833333333333334</v>
      </c>
      <c r="D166" s="6" t="n">
        <v>0.7916666666666666</v>
      </c>
      <c r="E166" s="7">
        <f>IF(AND(C166&lt;&gt;"",D166&lt;&gt;""),D166-C166,0)</f>
        <v/>
      </c>
      <c r="F166" s="3" t="n">
        <v>60000</v>
      </c>
      <c r="G166" s="8">
        <f>IFERROR(IF(B166&lt;&gt;"",INDEX('직원 마스터'!B$2:B$31,MATCH(1,('직원 마스터'!A$2:A$31=B166)*('직원 마스터'!F$2:F$31&lt;=(YEAR(A166)*100+MONTH(A166)))*(('직원 마스터'!G$2:G$31="")+('직원 마스터'!G$2:G$31&gt;=(YEAR(A166)*100+MONTH(A166)))),0)),""),"")</f>
        <v/>
      </c>
      <c r="H166" s="2" t="n"/>
    </row>
    <row r="167">
      <c r="A167" s="5" t="n">
        <v>45891</v>
      </c>
      <c r="B167" s="2" t="inlineStr">
        <is>
          <t>김채현</t>
        </is>
      </c>
      <c r="C167" s="6" t="n">
        <v>0.5833333333333334</v>
      </c>
      <c r="D167" s="6" t="n">
        <v>0.7916666666666666</v>
      </c>
      <c r="E167" s="7">
        <f>IF(AND(C167&lt;&gt;"",D167&lt;&gt;""),D167-C167,0)</f>
        <v/>
      </c>
      <c r="F167" s="3" t="n">
        <v>60000</v>
      </c>
      <c r="G167" s="8">
        <f>IFERROR(IF(B167&lt;&gt;"",INDEX('직원 마스터'!B$2:B$31,MATCH(1,('직원 마스터'!A$2:A$31=B167)*('직원 마스터'!F$2:F$31&lt;=(YEAR(A167)*100+MONTH(A167)))*(('직원 마스터'!G$2:G$31="")+('직원 마스터'!G$2:G$31&gt;=(YEAR(A167)*100+MONTH(A167)))),0)),""),"")</f>
        <v/>
      </c>
      <c r="H167" s="2" t="n"/>
    </row>
    <row r="168">
      <c r="A168" s="5" t="n">
        <v>45892</v>
      </c>
      <c r="B168" s="2" t="inlineStr">
        <is>
          <t>김채현</t>
        </is>
      </c>
      <c r="C168" s="6" t="n">
        <v>0.4375</v>
      </c>
      <c r="D168" s="6" t="n">
        <v>0.6041666666666666</v>
      </c>
      <c r="E168" s="7">
        <f>IF(AND(C168&lt;&gt;"",D168&lt;&gt;""),D168-C168,0)</f>
        <v/>
      </c>
      <c r="F168" s="3" t="n">
        <v>48000</v>
      </c>
      <c r="G168" s="8">
        <f>IFERROR(IF(B168&lt;&gt;"",INDEX('직원 마스터'!B$2:B$31,MATCH(1,('직원 마스터'!A$2:A$31=B168)*('직원 마스터'!F$2:F$31&lt;=(YEAR(A168)*100+MONTH(A168)))*(('직원 마스터'!G$2:G$31="")+('직원 마스터'!G$2:G$31&gt;=(YEAR(A168)*100+MONTH(A168)))),0)),""),"")</f>
        <v/>
      </c>
      <c r="H168" s="2" t="n"/>
    </row>
    <row r="169">
      <c r="A169" s="5" t="n">
        <v>45894</v>
      </c>
      <c r="B169" s="2" t="inlineStr">
        <is>
          <t>고경민</t>
        </is>
      </c>
      <c r="C169" s="6" t="n">
        <v>0.625</v>
      </c>
      <c r="D169" s="6" t="n">
        <v>0.7916666666666666</v>
      </c>
      <c r="E169" s="7">
        <f>IF(AND(C169&lt;&gt;"",D169&lt;&gt;""),D169-C169,0)</f>
        <v/>
      </c>
      <c r="F169" s="3" t="n">
        <v>48000</v>
      </c>
      <c r="G169" s="8">
        <f>IFERROR(IF(B169&lt;&gt;"",INDEX('직원 마스터'!B$2:B$31,MATCH(1,('직원 마스터'!A$2:A$31=B169)*('직원 마스터'!F$2:F$31&lt;=(YEAR(A169)*100+MONTH(A169)))*(('직원 마스터'!G$2:G$31="")+('직원 마스터'!G$2:G$31&gt;=(YEAR(A169)*100+MONTH(A169)))),0)),""),"")</f>
        <v/>
      </c>
      <c r="H169" s="2" t="n"/>
    </row>
    <row r="170">
      <c r="A170" s="5" t="n">
        <v>45895</v>
      </c>
      <c r="B170" s="2" t="inlineStr">
        <is>
          <t>고경민</t>
        </is>
      </c>
      <c r="C170" s="6" t="n">
        <v>0.625</v>
      </c>
      <c r="D170" s="6" t="n">
        <v>0.7916666666666666</v>
      </c>
      <c r="E170" s="7">
        <f>IF(AND(C170&lt;&gt;"",D170&lt;&gt;""),D170-C170,0)</f>
        <v/>
      </c>
      <c r="F170" s="3" t="n">
        <v>48000</v>
      </c>
      <c r="G170" s="8">
        <f>IFERROR(IF(B170&lt;&gt;"",INDEX('직원 마스터'!B$2:B$31,MATCH(1,('직원 마스터'!A$2:A$31=B170)*('직원 마스터'!F$2:F$31&lt;=(YEAR(A170)*100+MONTH(A170)))*(('직원 마스터'!G$2:G$31="")+('직원 마스터'!G$2:G$31&gt;=(YEAR(A170)*100+MONTH(A170)))),0)),""),"")</f>
        <v/>
      </c>
      <c r="H170" s="2" t="n"/>
    </row>
    <row r="171">
      <c r="A171" s="5" t="n">
        <v>45896</v>
      </c>
      <c r="B171" s="2" t="inlineStr">
        <is>
          <t>고경민</t>
        </is>
      </c>
      <c r="C171" s="6" t="n">
        <v>0.625</v>
      </c>
      <c r="D171" s="6" t="n">
        <v>0.7916666666666666</v>
      </c>
      <c r="E171" s="7">
        <f>IF(AND(C171&lt;&gt;"",D171&lt;&gt;""),D171-C171,0)</f>
        <v/>
      </c>
      <c r="F171" s="3" t="n">
        <v>48000</v>
      </c>
      <c r="G171" s="8">
        <f>IFERROR(IF(B171&lt;&gt;"",INDEX('직원 마스터'!B$2:B$31,MATCH(1,('직원 마스터'!A$2:A$31=B171)*('직원 마스터'!F$2:F$31&lt;=(YEAR(A171)*100+MONTH(A171)))*(('직원 마스터'!G$2:G$31="")+('직원 마스터'!G$2:G$31&gt;=(YEAR(A171)*100+MONTH(A171)))),0)),""),"")</f>
        <v/>
      </c>
      <c r="H171" s="2" t="n"/>
    </row>
    <row r="172">
      <c r="A172" s="5" t="n">
        <v>45897</v>
      </c>
      <c r="B172" s="2" t="inlineStr">
        <is>
          <t>김채현</t>
        </is>
      </c>
      <c r="C172" s="6" t="n">
        <v>0.5833333333333334</v>
      </c>
      <c r="D172" s="6" t="n">
        <v>0.7916666666666666</v>
      </c>
      <c r="E172" s="7">
        <f>IF(AND(C172&lt;&gt;"",D172&lt;&gt;""),D172-C172,0)</f>
        <v/>
      </c>
      <c r="F172" s="3" t="n">
        <v>60000</v>
      </c>
      <c r="G172" s="8">
        <f>IFERROR(IF(B172&lt;&gt;"",INDEX('직원 마스터'!B$2:B$31,MATCH(1,('직원 마스터'!A$2:A$31=B172)*('직원 마스터'!F$2:F$31&lt;=(YEAR(A172)*100+MONTH(A172)))*(('직원 마스터'!G$2:G$31="")+('직원 마스터'!G$2:G$31&gt;=(YEAR(A172)*100+MONTH(A172)))),0)),""),"")</f>
        <v/>
      </c>
      <c r="H172" s="2" t="n"/>
    </row>
    <row r="173">
      <c r="A173" s="5" t="n">
        <v>45898</v>
      </c>
      <c r="B173" s="2" t="inlineStr">
        <is>
          <t>김채현</t>
        </is>
      </c>
      <c r="C173" s="6" t="n">
        <v>0.5833333333333334</v>
      </c>
      <c r="D173" s="6" t="n">
        <v>0.7916666666666666</v>
      </c>
      <c r="E173" s="7">
        <f>IF(AND(C173&lt;&gt;"",D173&lt;&gt;""),D173-C173,0)</f>
        <v/>
      </c>
      <c r="F173" s="3" t="n">
        <v>60000</v>
      </c>
      <c r="G173" s="8">
        <f>IFERROR(IF(B173&lt;&gt;"",INDEX('직원 마스터'!B$2:B$31,MATCH(1,('직원 마스터'!A$2:A$31=B173)*('직원 마스터'!F$2:F$31&lt;=(YEAR(A173)*100+MONTH(A173)))*(('직원 마스터'!G$2:G$31="")+('직원 마스터'!G$2:G$31&gt;=(YEAR(A173)*100+MONTH(A173)))),0)),""),"")</f>
        <v/>
      </c>
      <c r="H173" s="2" t="n"/>
    </row>
    <row r="174">
      <c r="A174" s="5" t="n">
        <v>45899</v>
      </c>
      <c r="B174" s="2" t="inlineStr">
        <is>
          <t>김채현</t>
        </is>
      </c>
      <c r="C174" s="6" t="n">
        <v>0.4375</v>
      </c>
      <c r="D174" s="6" t="n">
        <v>0.6041666666666666</v>
      </c>
      <c r="E174" s="7">
        <f>IF(AND(C174&lt;&gt;"",D174&lt;&gt;""),D174-C174,0)</f>
        <v/>
      </c>
      <c r="F174" s="3" t="n">
        <v>48000</v>
      </c>
      <c r="G174" s="8">
        <f>IFERROR(IF(B174&lt;&gt;"",INDEX('직원 마스터'!B$2:B$31,MATCH(1,('직원 마스터'!A$2:A$31=B174)*('직원 마스터'!F$2:F$31&lt;=(YEAR(A174)*100+MONTH(A174)))*(('직원 마스터'!G$2:G$31="")+('직원 마스터'!G$2:G$31&gt;=(YEAR(A174)*100+MONTH(A174)))),0)),""),"")</f>
        <v/>
      </c>
      <c r="H174" s="2" t="n"/>
    </row>
    <row r="175">
      <c r="A175" s="5" t="n">
        <v>45901</v>
      </c>
      <c r="B175" s="2" t="inlineStr">
        <is>
          <t>고경민</t>
        </is>
      </c>
      <c r="C175" s="6" t="n">
        <v>0.625</v>
      </c>
      <c r="D175" s="6" t="n">
        <v>0.7916666666666666</v>
      </c>
      <c r="E175" s="7">
        <f>IF(AND(C175&lt;&gt;"",D175&lt;&gt;""),D175-C175,0)</f>
        <v/>
      </c>
      <c r="F175" s="3" t="n">
        <v>48000</v>
      </c>
      <c r="G175" s="8">
        <f>IFERROR(IF(B175&lt;&gt;"",INDEX('직원 마스터'!B$2:B$31,MATCH(1,('직원 마스터'!A$2:A$31=B175)*('직원 마스터'!F$2:F$31&lt;=(YEAR(A175)*100+MONTH(A175)))*(('직원 마스터'!G$2:G$31="")+('직원 마스터'!G$2:G$31&gt;=(YEAR(A175)*100+MONTH(A175)))),0)),""),"")</f>
        <v/>
      </c>
      <c r="H175" s="2" t="n"/>
    </row>
    <row r="176">
      <c r="A176" s="5" t="n">
        <v>45902</v>
      </c>
      <c r="B176" s="2" t="inlineStr">
        <is>
          <t>고경민</t>
        </is>
      </c>
      <c r="C176" s="6" t="n">
        <v>0.625</v>
      </c>
      <c r="D176" s="6" t="n">
        <v>0.7916666666666666</v>
      </c>
      <c r="E176" s="7">
        <f>IF(AND(C176&lt;&gt;"",D176&lt;&gt;""),D176-C176,0)</f>
        <v/>
      </c>
      <c r="F176" s="3" t="n">
        <v>48000</v>
      </c>
      <c r="G176" s="8">
        <f>IFERROR(IF(B176&lt;&gt;"",INDEX('직원 마스터'!B$2:B$31,MATCH(1,('직원 마스터'!A$2:A$31=B176)*('직원 마스터'!F$2:F$31&lt;=(YEAR(A176)*100+MONTH(A176)))*(('직원 마스터'!G$2:G$31="")+('직원 마스터'!G$2:G$31&gt;=(YEAR(A176)*100+MONTH(A176)))),0)),""),"")</f>
        <v/>
      </c>
      <c r="H176" s="2" t="n"/>
    </row>
    <row r="177">
      <c r="A177" s="5" t="n">
        <v>45903</v>
      </c>
      <c r="B177" s="2" t="inlineStr">
        <is>
          <t>고경민</t>
        </is>
      </c>
      <c r="C177" s="6" t="n">
        <v>0.625</v>
      </c>
      <c r="D177" s="6" t="n">
        <v>0.7916666666666666</v>
      </c>
      <c r="E177" s="7">
        <f>IF(AND(C177&lt;&gt;"",D177&lt;&gt;""),D177-C177,0)</f>
        <v/>
      </c>
      <c r="F177" s="3" t="n">
        <v>48000</v>
      </c>
      <c r="G177" s="8">
        <f>IFERROR(IF(B177&lt;&gt;"",INDEX('직원 마스터'!B$2:B$31,MATCH(1,('직원 마스터'!A$2:A$31=B177)*('직원 마스터'!F$2:F$31&lt;=(YEAR(A177)*100+MONTH(A177)))*(('직원 마스터'!G$2:G$31="")+('직원 마스터'!G$2:G$31&gt;=(YEAR(A177)*100+MONTH(A177)))),0)),""),"")</f>
        <v/>
      </c>
      <c r="H177" s="2" t="n"/>
    </row>
    <row r="178">
      <c r="A178" s="5" t="n">
        <v>45904</v>
      </c>
      <c r="B178" s="2" t="inlineStr">
        <is>
          <t>김채현</t>
        </is>
      </c>
      <c r="C178" s="6" t="n">
        <v>0.625</v>
      </c>
      <c r="D178" s="6" t="n">
        <v>0.7916666666666666</v>
      </c>
      <c r="E178" s="7">
        <f>IF(AND(C178&lt;&gt;"",D178&lt;&gt;""),D178-C178,0)</f>
        <v/>
      </c>
      <c r="F178" s="3" t="n">
        <v>48000</v>
      </c>
      <c r="G178" s="8">
        <f>IFERROR(IF(B178&lt;&gt;"",INDEX('직원 마스터'!B$2:B$31,MATCH(1,('직원 마스터'!A$2:A$31=B178)*('직원 마스터'!F$2:F$31&lt;=(YEAR(A178)*100+MONTH(A178)))*(('직원 마스터'!G$2:G$31="")+('직원 마스터'!G$2:G$31&gt;=(YEAR(A178)*100+MONTH(A178)))),0)),""),"")</f>
        <v/>
      </c>
      <c r="H178" s="2" t="n"/>
    </row>
    <row r="179">
      <c r="A179" s="5" t="n">
        <v>45905</v>
      </c>
      <c r="B179" s="2" t="inlineStr">
        <is>
          <t>김채현</t>
        </is>
      </c>
      <c r="C179" s="6" t="n">
        <v>0.625</v>
      </c>
      <c r="D179" s="6" t="n">
        <v>0.7916666666666666</v>
      </c>
      <c r="E179" s="7">
        <f>IF(AND(C179&lt;&gt;"",D179&lt;&gt;""),D179-C179,0)</f>
        <v/>
      </c>
      <c r="F179" s="3" t="n">
        <v>48000</v>
      </c>
      <c r="G179" s="8">
        <f>IFERROR(IF(B179&lt;&gt;"",INDEX('직원 마스터'!B$2:B$31,MATCH(1,('직원 마스터'!A$2:A$31=B179)*('직원 마스터'!F$2:F$31&lt;=(YEAR(A179)*100+MONTH(A179)))*(('직원 마스터'!G$2:G$31="")+('직원 마스터'!G$2:G$31&gt;=(YEAR(A179)*100+MONTH(A179)))),0)),""),"")</f>
        <v/>
      </c>
      <c r="H179" s="2" t="n"/>
    </row>
    <row r="180">
      <c r="A180" s="5" t="n">
        <v>45906</v>
      </c>
      <c r="B180" s="2" t="inlineStr">
        <is>
          <t>김채현</t>
        </is>
      </c>
      <c r="C180" s="6" t="n">
        <v>0.4375</v>
      </c>
      <c r="D180" s="6" t="n">
        <v>0.6041666666666666</v>
      </c>
      <c r="E180" s="7">
        <f>IF(AND(C180&lt;&gt;"",D180&lt;&gt;""),D180-C180,0)</f>
        <v/>
      </c>
      <c r="F180" s="3" t="n">
        <v>48000</v>
      </c>
      <c r="G180" s="8">
        <f>IFERROR(IF(B180&lt;&gt;"",INDEX('직원 마스터'!B$2:B$31,MATCH(1,('직원 마스터'!A$2:A$31=B180)*('직원 마스터'!F$2:F$31&lt;=(YEAR(A180)*100+MONTH(A180)))*(('직원 마스터'!G$2:G$31="")+('직원 마스터'!G$2:G$31&gt;=(YEAR(A180)*100+MONTH(A180)))),0)),""),"")</f>
        <v/>
      </c>
      <c r="H180" s="2" t="n"/>
    </row>
    <row r="181">
      <c r="A181" s="5" t="n">
        <v>45908</v>
      </c>
      <c r="B181" s="2" t="inlineStr">
        <is>
          <t>고경민</t>
        </is>
      </c>
      <c r="C181" s="6" t="n">
        <v>0.625</v>
      </c>
      <c r="D181" s="6" t="n">
        <v>0.7916666666666666</v>
      </c>
      <c r="E181" s="7">
        <f>IF(AND(C181&lt;&gt;"",D181&lt;&gt;""),D181-C181,0)</f>
        <v/>
      </c>
      <c r="F181" s="3" t="n">
        <v>48000</v>
      </c>
      <c r="G181" s="8">
        <f>IFERROR(IF(B181&lt;&gt;"",INDEX('직원 마스터'!B$2:B$31,MATCH(1,('직원 마스터'!A$2:A$31=B181)*('직원 마스터'!F$2:F$31&lt;=(YEAR(A181)*100+MONTH(A181)))*(('직원 마스터'!G$2:G$31="")+('직원 마스터'!G$2:G$31&gt;=(YEAR(A181)*100+MONTH(A181)))),0)),""),"")</f>
        <v/>
      </c>
      <c r="H181" s="2" t="n"/>
    </row>
    <row r="182">
      <c r="A182" s="5" t="n">
        <v>45909</v>
      </c>
      <c r="B182" s="2" t="inlineStr">
        <is>
          <t>고경민</t>
        </is>
      </c>
      <c r="C182" s="6" t="n">
        <v>0.625</v>
      </c>
      <c r="D182" s="6" t="n">
        <v>0.7916666666666666</v>
      </c>
      <c r="E182" s="7">
        <f>IF(AND(C182&lt;&gt;"",D182&lt;&gt;""),D182-C182,0)</f>
        <v/>
      </c>
      <c r="F182" s="3" t="n">
        <v>48000</v>
      </c>
      <c r="G182" s="8">
        <f>IFERROR(IF(B182&lt;&gt;"",INDEX('직원 마스터'!B$2:B$31,MATCH(1,('직원 마스터'!A$2:A$31=B182)*('직원 마스터'!F$2:F$31&lt;=(YEAR(A182)*100+MONTH(A182)))*(('직원 마스터'!G$2:G$31="")+('직원 마스터'!G$2:G$31&gt;=(YEAR(A182)*100+MONTH(A182)))),0)),""),"")</f>
        <v/>
      </c>
      <c r="H182" s="2" t="n"/>
    </row>
    <row r="183">
      <c r="A183" s="5" t="n">
        <v>45910</v>
      </c>
      <c r="B183" s="2" t="inlineStr">
        <is>
          <t>고경민</t>
        </is>
      </c>
      <c r="C183" s="6" t="n">
        <v>0.625</v>
      </c>
      <c r="D183" s="6" t="n">
        <v>0.7916666666666666</v>
      </c>
      <c r="E183" s="7">
        <f>IF(AND(C183&lt;&gt;"",D183&lt;&gt;""),D183-C183,0)</f>
        <v/>
      </c>
      <c r="F183" s="3" t="n">
        <v>48000</v>
      </c>
      <c r="G183" s="8">
        <f>IFERROR(IF(B183&lt;&gt;"",INDEX('직원 마스터'!B$2:B$31,MATCH(1,('직원 마스터'!A$2:A$31=B183)*('직원 마스터'!F$2:F$31&lt;=(YEAR(A183)*100+MONTH(A183)))*(('직원 마스터'!G$2:G$31="")+('직원 마스터'!G$2:G$31&gt;=(YEAR(A183)*100+MONTH(A183)))),0)),""),"")</f>
        <v/>
      </c>
      <c r="H183" s="2" t="n"/>
    </row>
    <row r="184">
      <c r="A184" s="5" t="n">
        <v>45911</v>
      </c>
      <c r="B184" s="2" t="inlineStr">
        <is>
          <t>김채현</t>
        </is>
      </c>
      <c r="C184" s="6" t="n">
        <v>0.625</v>
      </c>
      <c r="D184" s="6" t="n">
        <v>0.7916666666666666</v>
      </c>
      <c r="E184" s="7">
        <f>IF(AND(C184&lt;&gt;"",D184&lt;&gt;""),D184-C184,0)</f>
        <v/>
      </c>
      <c r="F184" s="3" t="n">
        <v>48000</v>
      </c>
      <c r="G184" s="8">
        <f>IFERROR(IF(B184&lt;&gt;"",INDEX('직원 마스터'!B$2:B$31,MATCH(1,('직원 마스터'!A$2:A$31=B184)*('직원 마스터'!F$2:F$31&lt;=(YEAR(A184)*100+MONTH(A184)))*(('직원 마스터'!G$2:G$31="")+('직원 마스터'!G$2:G$31&gt;=(YEAR(A184)*100+MONTH(A184)))),0)),""),"")</f>
        <v/>
      </c>
      <c r="H184" s="2" t="n"/>
    </row>
    <row r="185">
      <c r="A185" s="5" t="n">
        <v>45912</v>
      </c>
      <c r="B185" s="2" t="inlineStr">
        <is>
          <t>김채현</t>
        </is>
      </c>
      <c r="C185" s="6" t="n">
        <v>0.625</v>
      </c>
      <c r="D185" s="6" t="n">
        <v>0.7916666666666666</v>
      </c>
      <c r="E185" s="7">
        <f>IF(AND(C185&lt;&gt;"",D185&lt;&gt;""),D185-C185,0)</f>
        <v/>
      </c>
      <c r="F185" s="3" t="n">
        <v>48000</v>
      </c>
      <c r="G185" s="8">
        <f>IFERROR(IF(B185&lt;&gt;"",INDEX('직원 마스터'!B$2:B$31,MATCH(1,('직원 마스터'!A$2:A$31=B185)*('직원 마스터'!F$2:F$31&lt;=(YEAR(A185)*100+MONTH(A185)))*(('직원 마스터'!G$2:G$31="")+('직원 마스터'!G$2:G$31&gt;=(YEAR(A185)*100+MONTH(A185)))),0)),""),"")</f>
        <v/>
      </c>
      <c r="H185" s="2" t="n"/>
    </row>
    <row r="186">
      <c r="A186" s="5" t="n">
        <v>45913</v>
      </c>
      <c r="B186" s="2" t="inlineStr">
        <is>
          <t>김채현</t>
        </is>
      </c>
      <c r="C186" s="6" t="n">
        <v>0.4375</v>
      </c>
      <c r="D186" s="6" t="n">
        <v>0.6041666666666666</v>
      </c>
      <c r="E186" s="7">
        <f>IF(AND(C186&lt;&gt;"",D186&lt;&gt;""),D186-C186,0)</f>
        <v/>
      </c>
      <c r="F186" s="3" t="n">
        <v>48000</v>
      </c>
      <c r="G186" s="8">
        <f>IFERROR(IF(B186&lt;&gt;"",INDEX('직원 마스터'!B$2:B$31,MATCH(1,('직원 마스터'!A$2:A$31=B186)*('직원 마스터'!F$2:F$31&lt;=(YEAR(A186)*100+MONTH(A186)))*(('직원 마스터'!G$2:G$31="")+('직원 마스터'!G$2:G$31&gt;=(YEAR(A186)*100+MONTH(A186)))),0)),""),"")</f>
        <v/>
      </c>
      <c r="H186" s="2" t="n"/>
    </row>
    <row r="187">
      <c r="A187" s="5" t="n">
        <v>45915</v>
      </c>
      <c r="B187" s="2" t="inlineStr">
        <is>
          <t>고경민</t>
        </is>
      </c>
      <c r="C187" s="6" t="n">
        <v>0.625</v>
      </c>
      <c r="D187" s="6" t="n">
        <v>0.7916666666666666</v>
      </c>
      <c r="E187" s="7">
        <f>IF(AND(C187&lt;&gt;"",D187&lt;&gt;""),D187-C187,0)</f>
        <v/>
      </c>
      <c r="F187" s="3" t="n">
        <v>48000</v>
      </c>
      <c r="G187" s="8">
        <f>IFERROR(IF(B187&lt;&gt;"",INDEX('직원 마스터'!B$2:B$31,MATCH(1,('직원 마스터'!A$2:A$31=B187)*('직원 마스터'!F$2:F$31&lt;=(YEAR(A187)*100+MONTH(A187)))*(('직원 마스터'!G$2:G$31="")+('직원 마스터'!G$2:G$31&gt;=(YEAR(A187)*100+MONTH(A187)))),0)),""),"")</f>
        <v/>
      </c>
      <c r="H187" s="2" t="n"/>
    </row>
    <row r="188">
      <c r="A188" s="5" t="n">
        <v>45916</v>
      </c>
      <c r="B188" s="2" t="inlineStr">
        <is>
          <t>고경민</t>
        </is>
      </c>
      <c r="C188" s="6" t="n">
        <v>0.625</v>
      </c>
      <c r="D188" s="6" t="n">
        <v>0.7916666666666666</v>
      </c>
      <c r="E188" s="7">
        <f>IF(AND(C188&lt;&gt;"",D188&lt;&gt;""),D188-C188,0)</f>
        <v/>
      </c>
      <c r="F188" s="3" t="n">
        <v>48000</v>
      </c>
      <c r="G188" s="8">
        <f>IFERROR(IF(B188&lt;&gt;"",INDEX('직원 마스터'!B$2:B$31,MATCH(1,('직원 마스터'!A$2:A$31=B188)*('직원 마스터'!F$2:F$31&lt;=(YEAR(A188)*100+MONTH(A188)))*(('직원 마스터'!G$2:G$31="")+('직원 마스터'!G$2:G$31&gt;=(YEAR(A188)*100+MONTH(A188)))),0)),""),"")</f>
        <v/>
      </c>
      <c r="H188" s="2" t="n"/>
    </row>
    <row r="189">
      <c r="A189" s="5" t="n">
        <v>45917</v>
      </c>
      <c r="B189" s="2" t="inlineStr">
        <is>
          <t>고경민</t>
        </is>
      </c>
      <c r="C189" s="6" t="n">
        <v>0.625</v>
      </c>
      <c r="D189" s="6" t="n">
        <v>0.7916666666666666</v>
      </c>
      <c r="E189" s="7">
        <f>IF(AND(C189&lt;&gt;"",D189&lt;&gt;""),D189-C189,0)</f>
        <v/>
      </c>
      <c r="F189" s="3" t="n">
        <v>48000</v>
      </c>
      <c r="G189" s="8">
        <f>IFERROR(IF(B189&lt;&gt;"",INDEX('직원 마스터'!B$2:B$31,MATCH(1,('직원 마스터'!A$2:A$31=B189)*('직원 마스터'!F$2:F$31&lt;=(YEAR(A189)*100+MONTH(A189)))*(('직원 마스터'!G$2:G$31="")+('직원 마스터'!G$2:G$31&gt;=(YEAR(A189)*100+MONTH(A189)))),0)),""),"")</f>
        <v/>
      </c>
      <c r="H189" s="2" t="n"/>
    </row>
    <row r="190">
      <c r="A190" s="5" t="n">
        <v>45918</v>
      </c>
      <c r="B190" s="2" t="inlineStr">
        <is>
          <t>김채현</t>
        </is>
      </c>
      <c r="C190" s="6" t="n">
        <v>0.625</v>
      </c>
      <c r="D190" s="6" t="n">
        <v>0.7916666666666666</v>
      </c>
      <c r="E190" s="7">
        <f>IF(AND(C190&lt;&gt;"",D190&lt;&gt;""),D190-C190,0)</f>
        <v/>
      </c>
      <c r="F190" s="3" t="n">
        <v>48000</v>
      </c>
      <c r="G190" s="8">
        <f>IFERROR(IF(B190&lt;&gt;"",INDEX('직원 마스터'!B$2:B$31,MATCH(1,('직원 마스터'!A$2:A$31=B190)*('직원 마스터'!F$2:F$31&lt;=(YEAR(A190)*100+MONTH(A190)))*(('직원 마스터'!G$2:G$31="")+('직원 마스터'!G$2:G$31&gt;=(YEAR(A190)*100+MONTH(A190)))),0)),""),"")</f>
        <v/>
      </c>
      <c r="H190" s="2" t="n"/>
    </row>
    <row r="191">
      <c r="A191" s="5" t="n">
        <v>45919</v>
      </c>
      <c r="B191" s="2" t="inlineStr">
        <is>
          <t>김채현</t>
        </is>
      </c>
      <c r="C191" s="6" t="n">
        <v>0.625</v>
      </c>
      <c r="D191" s="6" t="n">
        <v>0.7916666666666666</v>
      </c>
      <c r="E191" s="7">
        <f>IF(AND(C191&lt;&gt;"",D191&lt;&gt;""),D191-C191,0)</f>
        <v/>
      </c>
      <c r="F191" s="3" t="n">
        <v>48000</v>
      </c>
      <c r="G191" s="8">
        <f>IFERROR(IF(B191&lt;&gt;"",INDEX('직원 마스터'!B$2:B$31,MATCH(1,('직원 마스터'!A$2:A$31=B191)*('직원 마스터'!F$2:F$31&lt;=(YEAR(A191)*100+MONTH(A191)))*(('직원 마스터'!G$2:G$31="")+('직원 마스터'!G$2:G$31&gt;=(YEAR(A191)*100+MONTH(A191)))),0)),""),"")</f>
        <v/>
      </c>
      <c r="H191" s="2" t="n"/>
    </row>
    <row r="192">
      <c r="A192" s="5" t="n">
        <v>45920</v>
      </c>
      <c r="B192" s="2" t="inlineStr">
        <is>
          <t>김채현</t>
        </is>
      </c>
      <c r="C192" s="6" t="n">
        <v>0.4375</v>
      </c>
      <c r="D192" s="6" t="n">
        <v>0.6041666666666666</v>
      </c>
      <c r="E192" s="7">
        <f>IF(AND(C192&lt;&gt;"",D192&lt;&gt;""),D192-C192,0)</f>
        <v/>
      </c>
      <c r="F192" s="3" t="n">
        <v>48000</v>
      </c>
      <c r="G192" s="8">
        <f>IFERROR(IF(B192&lt;&gt;"",INDEX('직원 마스터'!B$2:B$31,MATCH(1,('직원 마스터'!A$2:A$31=B192)*('직원 마스터'!F$2:F$31&lt;=(YEAR(A192)*100+MONTH(A192)))*(('직원 마스터'!G$2:G$31="")+('직원 마스터'!G$2:G$31&gt;=(YEAR(A192)*100+MONTH(A192)))),0)),""),"")</f>
        <v/>
      </c>
      <c r="H192" s="2" t="n"/>
    </row>
    <row r="193">
      <c r="A193" s="5" t="n">
        <v>45922</v>
      </c>
      <c r="B193" s="2" t="inlineStr">
        <is>
          <t>고경민</t>
        </is>
      </c>
      <c r="C193" s="6" t="n">
        <v>0.625</v>
      </c>
      <c r="D193" s="6" t="n">
        <v>0.7916666666666666</v>
      </c>
      <c r="E193" s="7">
        <f>IF(AND(C193&lt;&gt;"",D193&lt;&gt;""),D193-C193,0)</f>
        <v/>
      </c>
      <c r="F193" s="3" t="n">
        <v>48000</v>
      </c>
      <c r="G193" s="8">
        <f>IFERROR(IF(B193&lt;&gt;"",INDEX('직원 마스터'!B$2:B$31,MATCH(1,('직원 마스터'!A$2:A$31=B193)*('직원 마스터'!F$2:F$31&lt;=(YEAR(A193)*100+MONTH(A193)))*(('직원 마스터'!G$2:G$31="")+('직원 마스터'!G$2:G$31&gt;=(YEAR(A193)*100+MONTH(A193)))),0)),""),"")</f>
        <v/>
      </c>
      <c r="H193" s="2" t="n"/>
    </row>
    <row r="194">
      <c r="A194" s="5" t="n">
        <v>45923</v>
      </c>
      <c r="B194" s="2" t="inlineStr">
        <is>
          <t>고경민</t>
        </is>
      </c>
      <c r="C194" s="6" t="n">
        <v>0.625</v>
      </c>
      <c r="D194" s="6" t="n">
        <v>0.7916666666666666</v>
      </c>
      <c r="E194" s="7">
        <f>IF(AND(C194&lt;&gt;"",D194&lt;&gt;""),D194-C194,0)</f>
        <v/>
      </c>
      <c r="F194" s="3" t="n">
        <v>48000</v>
      </c>
      <c r="G194" s="8">
        <f>IFERROR(IF(B194&lt;&gt;"",INDEX('직원 마스터'!B$2:B$31,MATCH(1,('직원 마스터'!A$2:A$31=B194)*('직원 마스터'!F$2:F$31&lt;=(YEAR(A194)*100+MONTH(A194)))*(('직원 마스터'!G$2:G$31="")+('직원 마스터'!G$2:G$31&gt;=(YEAR(A194)*100+MONTH(A194)))),0)),""),"")</f>
        <v/>
      </c>
      <c r="H194" s="2" t="n"/>
    </row>
    <row r="195">
      <c r="A195" s="5" t="n">
        <v>45924</v>
      </c>
      <c r="B195" s="2" t="inlineStr">
        <is>
          <t>고경민</t>
        </is>
      </c>
      <c r="C195" s="6" t="n">
        <v>0.625</v>
      </c>
      <c r="D195" s="6" t="n">
        <v>0.7916666666666666</v>
      </c>
      <c r="E195" s="7">
        <f>IF(AND(C195&lt;&gt;"",D195&lt;&gt;""),D195-C195,0)</f>
        <v/>
      </c>
      <c r="F195" s="3" t="n">
        <v>48000</v>
      </c>
      <c r="G195" s="8">
        <f>IFERROR(IF(B195&lt;&gt;"",INDEX('직원 마스터'!B$2:B$31,MATCH(1,('직원 마스터'!A$2:A$31=B195)*('직원 마스터'!F$2:F$31&lt;=(YEAR(A195)*100+MONTH(A195)))*(('직원 마스터'!G$2:G$31="")+('직원 마스터'!G$2:G$31&gt;=(YEAR(A195)*100+MONTH(A195)))),0)),""),"")</f>
        <v/>
      </c>
      <c r="H195" s="2" t="n"/>
    </row>
    <row r="196">
      <c r="A196" s="5" t="n">
        <v>45925</v>
      </c>
      <c r="B196" s="2" t="inlineStr">
        <is>
          <t>김채현</t>
        </is>
      </c>
      <c r="C196" s="6" t="n">
        <v>0.625</v>
      </c>
      <c r="D196" s="6" t="n">
        <v>0.7916666666666666</v>
      </c>
      <c r="E196" s="7">
        <f>IF(AND(C196&lt;&gt;"",D196&lt;&gt;""),D196-C196,0)</f>
        <v/>
      </c>
      <c r="F196" s="3" t="n">
        <v>48000</v>
      </c>
      <c r="G196" s="8">
        <f>IFERROR(IF(B196&lt;&gt;"",INDEX('직원 마스터'!B$2:B$31,MATCH(1,('직원 마스터'!A$2:A$31=B196)*('직원 마스터'!F$2:F$31&lt;=(YEAR(A196)*100+MONTH(A196)))*(('직원 마스터'!G$2:G$31="")+('직원 마스터'!G$2:G$31&gt;=(YEAR(A196)*100+MONTH(A196)))),0)),""),"")</f>
        <v/>
      </c>
      <c r="H196" s="2" t="n"/>
    </row>
    <row r="197">
      <c r="A197" s="5" t="n">
        <v>45926</v>
      </c>
      <c r="B197" s="2" t="inlineStr">
        <is>
          <t>김채현</t>
        </is>
      </c>
      <c r="C197" s="6" t="n">
        <v>0.625</v>
      </c>
      <c r="D197" s="6" t="n">
        <v>0.7916666666666666</v>
      </c>
      <c r="E197" s="7">
        <f>IF(AND(C197&lt;&gt;"",D197&lt;&gt;""),D197-C197,0)</f>
        <v/>
      </c>
      <c r="F197" s="3" t="n">
        <v>48000</v>
      </c>
      <c r="G197" s="8">
        <f>IFERROR(IF(B197&lt;&gt;"",INDEX('직원 마스터'!B$2:B$31,MATCH(1,('직원 마스터'!A$2:A$31=B197)*('직원 마스터'!F$2:F$31&lt;=(YEAR(A197)*100+MONTH(A197)))*(('직원 마스터'!G$2:G$31="")+('직원 마스터'!G$2:G$31&gt;=(YEAR(A197)*100+MONTH(A197)))),0)),""),"")</f>
        <v/>
      </c>
      <c r="H197" s="2" t="n"/>
    </row>
    <row r="198">
      <c r="A198" s="5" t="n">
        <v>45927</v>
      </c>
      <c r="B198" s="2" t="inlineStr">
        <is>
          <t>김채현</t>
        </is>
      </c>
      <c r="C198" s="6" t="n">
        <v>0.4375</v>
      </c>
      <c r="D198" s="6" t="n">
        <v>0.6041666666666666</v>
      </c>
      <c r="E198" s="7">
        <f>IF(AND(C198&lt;&gt;"",D198&lt;&gt;""),D198-C198,0)</f>
        <v/>
      </c>
      <c r="F198" s="3" t="n">
        <v>48000</v>
      </c>
      <c r="G198" s="8">
        <f>IFERROR(IF(B198&lt;&gt;"",INDEX('직원 마스터'!B$2:B$31,MATCH(1,('직원 마스터'!A$2:A$31=B198)*('직원 마스터'!F$2:F$31&lt;=(YEAR(A198)*100+MONTH(A198)))*(('직원 마스터'!G$2:G$31="")+('직원 마스터'!G$2:G$31&gt;=(YEAR(A198)*100+MONTH(A198)))),0)),""),"")</f>
        <v/>
      </c>
      <c r="H198" s="2" t="n"/>
    </row>
    <row r="199">
      <c r="A199" s="5" t="n">
        <v>45929</v>
      </c>
      <c r="B199" s="2" t="inlineStr">
        <is>
          <t>고경민</t>
        </is>
      </c>
      <c r="C199" s="6" t="n">
        <v>0.625</v>
      </c>
      <c r="D199" s="6" t="n">
        <v>0.7916666666666666</v>
      </c>
      <c r="E199" s="7">
        <f>IF(AND(C199&lt;&gt;"",D199&lt;&gt;""),D199-C199,0)</f>
        <v/>
      </c>
      <c r="F199" s="3" t="n">
        <v>48000</v>
      </c>
      <c r="G199" s="8">
        <f>IFERROR(IF(B199&lt;&gt;"",INDEX('직원 마스터'!B$2:B$31,MATCH(1,('직원 마스터'!A$2:A$31=B199)*('직원 마스터'!F$2:F$31&lt;=(YEAR(A199)*100+MONTH(A199)))*(('직원 마스터'!G$2:G$31="")+('직원 마스터'!G$2:G$31&gt;=(YEAR(A199)*100+MONTH(A199)))),0)),""),"")</f>
        <v/>
      </c>
      <c r="H199" s="2" t="n"/>
    </row>
    <row r="200">
      <c r="A200" s="5" t="n">
        <v>45930</v>
      </c>
      <c r="B200" s="2" t="inlineStr">
        <is>
          <t>고경민</t>
        </is>
      </c>
      <c r="C200" s="6" t="n">
        <v>0.625</v>
      </c>
      <c r="D200" s="6" t="n">
        <v>0.7916666666666666</v>
      </c>
      <c r="E200" s="7">
        <f>IF(AND(C200&lt;&gt;"",D200&lt;&gt;""),D200-C200,0)</f>
        <v/>
      </c>
      <c r="F200" s="3" t="n">
        <v>48000</v>
      </c>
      <c r="G200" s="8">
        <f>IFERROR(IF(B200&lt;&gt;"",INDEX('직원 마스터'!B$2:B$31,MATCH(1,('직원 마스터'!A$2:A$31=B200)*('직원 마스터'!F$2:F$31&lt;=(YEAR(A200)*100+MONTH(A200)))*(('직원 마스터'!G$2:G$31="")+('직원 마스터'!G$2:G$31&gt;=(YEAR(A200)*100+MONTH(A200)))),0)),""),"")</f>
        <v/>
      </c>
      <c r="H200" s="2" t="n"/>
    </row>
    <row r="201">
      <c r="A201" s="5" t="n">
        <v>45931</v>
      </c>
      <c r="B201" s="2" t="inlineStr">
        <is>
          <t>고경민</t>
        </is>
      </c>
      <c r="C201" s="6" t="n">
        <v>0.625</v>
      </c>
      <c r="D201" s="6" t="n">
        <v>0.7916666666666666</v>
      </c>
      <c r="E201" s="7">
        <f>IF(AND(C201&lt;&gt;"",D201&lt;&gt;""),D201-C201,0)</f>
        <v/>
      </c>
      <c r="F201" s="3" t="n">
        <v>48000</v>
      </c>
      <c r="G201" s="8">
        <f>IFERROR(IF(B201&lt;&gt;"",INDEX('직원 마스터'!B$2:B$31,MATCH(1,('직원 마스터'!A$2:A$31=B201)*('직원 마스터'!F$2:F$31&lt;=(YEAR(A201)*100+MONTH(A201)))*(('직원 마스터'!G$2:G$31="")+('직원 마스터'!G$2:G$31&gt;=(YEAR(A201)*100+MONTH(A201)))),0)),""),"")</f>
        <v/>
      </c>
      <c r="H201" s="2" t="n"/>
    </row>
    <row r="202">
      <c r="A202" s="5" t="n">
        <v>45932</v>
      </c>
      <c r="B202" s="2" t="inlineStr">
        <is>
          <t>김채현</t>
        </is>
      </c>
      <c r="C202" s="6" t="n">
        <v>0.625</v>
      </c>
      <c r="D202" s="6" t="n">
        <v>0.7916666666666666</v>
      </c>
      <c r="E202" s="7">
        <f>IF(AND(C202&lt;&gt;"",D202&lt;&gt;""),D202-C202,0)</f>
        <v/>
      </c>
      <c r="F202" s="3" t="n">
        <v>48000</v>
      </c>
      <c r="G202" s="8">
        <f>IFERROR(IF(B202&lt;&gt;"",INDEX('직원 마스터'!B$2:B$31,MATCH(1,('직원 마스터'!A$2:A$31=B202)*('직원 마스터'!F$2:F$31&lt;=(YEAR(A202)*100+MONTH(A202)))*(('직원 마스터'!G$2:G$31="")+('직원 마스터'!G$2:G$31&gt;=(YEAR(A202)*100+MONTH(A202)))),0)),""),"")</f>
        <v/>
      </c>
      <c r="H202" s="2" t="n"/>
    </row>
    <row r="203">
      <c r="A203" s="5" t="n">
        <v>45940</v>
      </c>
      <c r="B203" s="2" t="inlineStr">
        <is>
          <t>김채현</t>
        </is>
      </c>
      <c r="C203" s="6" t="n">
        <v>0.625</v>
      </c>
      <c r="D203" s="6" t="n">
        <v>0.7916666666666666</v>
      </c>
      <c r="E203" s="7">
        <f>IF(AND(C203&lt;&gt;"",D203&lt;&gt;""),D203-C203,0)</f>
        <v/>
      </c>
      <c r="F203" s="3" t="n">
        <v>48000</v>
      </c>
      <c r="G203" s="8">
        <f>IFERROR(IF(B203&lt;&gt;"",INDEX('직원 마스터'!B$2:B$31,MATCH(1,('직원 마스터'!A$2:A$31=B203)*('직원 마스터'!F$2:F$31&lt;=(YEAR(A203)*100+MONTH(A203)))*(('직원 마스터'!G$2:G$31="")+('직원 마스터'!G$2:G$31&gt;=(YEAR(A203)*100+MONTH(A203)))),0)),""),"")</f>
        <v/>
      </c>
      <c r="H203" s="2" t="n"/>
    </row>
    <row r="204">
      <c r="A204" s="5" t="n">
        <v>45941</v>
      </c>
      <c r="B204" s="2" t="inlineStr">
        <is>
          <t>김채현</t>
        </is>
      </c>
      <c r="C204" s="6" t="n">
        <v>0.4166666666666667</v>
      </c>
      <c r="D204" s="6" t="n">
        <v>0.6041666666666666</v>
      </c>
      <c r="E204" s="7">
        <f>IF(AND(C204&lt;&gt;"",D204&lt;&gt;""),D204-C204,0)</f>
        <v/>
      </c>
      <c r="F204" s="3" t="n">
        <v>54000</v>
      </c>
      <c r="G204" s="8">
        <f>IFERROR(IF(B204&lt;&gt;"",INDEX('직원 마스터'!B$2:B$31,MATCH(1,('직원 마스터'!A$2:A$31=B204)*('직원 마스터'!F$2:F$31&lt;=(YEAR(A204)*100+MONTH(A204)))*(('직원 마스터'!G$2:G$31="")+('직원 마스터'!G$2:G$31&gt;=(YEAR(A204)*100+MONTH(A204)))),0)),""),"")</f>
        <v/>
      </c>
      <c r="H204" s="2" t="n"/>
    </row>
    <row r="205">
      <c r="A205" s="5" t="n">
        <v>45943</v>
      </c>
      <c r="B205" s="2" t="inlineStr">
        <is>
          <t>고경민</t>
        </is>
      </c>
      <c r="C205" s="6" t="n">
        <v>0.625</v>
      </c>
      <c r="D205" s="6" t="n">
        <v>0.7916666666666666</v>
      </c>
      <c r="E205" s="7">
        <f>IF(AND(C205&lt;&gt;"",D205&lt;&gt;""),D205-C205,0)</f>
        <v/>
      </c>
      <c r="F205" s="3" t="n">
        <v>48000</v>
      </c>
      <c r="G205" s="8">
        <f>IFERROR(IF(B205&lt;&gt;"",INDEX('직원 마스터'!B$2:B$31,MATCH(1,('직원 마스터'!A$2:A$31=B205)*('직원 마스터'!F$2:F$31&lt;=(YEAR(A205)*100+MONTH(A205)))*(('직원 마스터'!G$2:G$31="")+('직원 마스터'!G$2:G$31&gt;=(YEAR(A205)*100+MONTH(A205)))),0)),""),"")</f>
        <v/>
      </c>
      <c r="H205" s="2" t="n"/>
    </row>
    <row r="206">
      <c r="A206" s="5" t="n">
        <v>45944</v>
      </c>
      <c r="B206" s="2" t="inlineStr">
        <is>
          <t>고경민</t>
        </is>
      </c>
      <c r="C206" s="6" t="n">
        <v>0.625</v>
      </c>
      <c r="D206" s="6" t="n">
        <v>0.7916666666666666</v>
      </c>
      <c r="E206" s="7">
        <f>IF(AND(C206&lt;&gt;"",D206&lt;&gt;""),D206-C206,0)</f>
        <v/>
      </c>
      <c r="F206" s="3" t="n">
        <v>48000</v>
      </c>
      <c r="G206" s="8">
        <f>IFERROR(IF(B206&lt;&gt;"",INDEX('직원 마스터'!B$2:B$31,MATCH(1,('직원 마스터'!A$2:A$31=B206)*('직원 마스터'!F$2:F$31&lt;=(YEAR(A206)*100+MONTH(A206)))*(('직원 마스터'!G$2:G$31="")+('직원 마스터'!G$2:G$31&gt;=(YEAR(A206)*100+MONTH(A206)))),0)),""),"")</f>
        <v/>
      </c>
      <c r="H206" s="2" t="n"/>
    </row>
    <row r="207">
      <c r="A207" s="5" t="n">
        <v>45945</v>
      </c>
      <c r="B207" s="2" t="inlineStr">
        <is>
          <t>고경민</t>
        </is>
      </c>
      <c r="C207" s="6" t="n">
        <v>0.625</v>
      </c>
      <c r="D207" s="6" t="n">
        <v>0.7916666666666666</v>
      </c>
      <c r="E207" s="7">
        <f>IF(AND(C207&lt;&gt;"",D207&lt;&gt;""),D207-C207,0)</f>
        <v/>
      </c>
      <c r="F207" s="3" t="n">
        <v>48000</v>
      </c>
      <c r="G207" s="8">
        <f>IFERROR(IF(B207&lt;&gt;"",INDEX('직원 마스터'!B$2:B$31,MATCH(1,('직원 마스터'!A$2:A$31=B207)*('직원 마스터'!F$2:F$31&lt;=(YEAR(A207)*100+MONTH(A207)))*(('직원 마스터'!G$2:G$31="")+('직원 마스터'!G$2:G$31&gt;=(YEAR(A207)*100+MONTH(A207)))),0)),""),"")</f>
        <v/>
      </c>
      <c r="H207" s="2" t="n"/>
    </row>
    <row r="208">
      <c r="A208" s="5" t="n">
        <v>45946</v>
      </c>
      <c r="B208" s="2" t="inlineStr">
        <is>
          <t>김채현</t>
        </is>
      </c>
      <c r="C208" s="6" t="n">
        <v>0.625</v>
      </c>
      <c r="D208" s="6" t="n">
        <v>0.7916666666666666</v>
      </c>
      <c r="E208" s="7">
        <f>IF(AND(C208&lt;&gt;"",D208&lt;&gt;""),D208-C208,0)</f>
        <v/>
      </c>
      <c r="F208" s="3" t="n">
        <v>48000</v>
      </c>
      <c r="G208" s="8">
        <f>IFERROR(IF(B208&lt;&gt;"",INDEX('직원 마스터'!B$2:B$31,MATCH(1,('직원 마스터'!A$2:A$31=B208)*('직원 마스터'!F$2:F$31&lt;=(YEAR(A208)*100+MONTH(A208)))*(('직원 마스터'!G$2:G$31="")+('직원 마스터'!G$2:G$31&gt;=(YEAR(A208)*100+MONTH(A208)))),0)),""),"")</f>
        <v/>
      </c>
      <c r="H208" s="2" t="n"/>
    </row>
    <row r="209">
      <c r="A209" s="5" t="n">
        <v>45947</v>
      </c>
      <c r="B209" s="2" t="inlineStr">
        <is>
          <t>김채현</t>
        </is>
      </c>
      <c r="C209" s="6" t="n">
        <v>0.625</v>
      </c>
      <c r="D209" s="6" t="n">
        <v>0.7916666666666666</v>
      </c>
      <c r="E209" s="7">
        <f>IF(AND(C209&lt;&gt;"",D209&lt;&gt;""),D209-C209,0)</f>
        <v/>
      </c>
      <c r="F209" s="3" t="n">
        <v>48000</v>
      </c>
      <c r="G209" s="8">
        <f>IFERROR(IF(B209&lt;&gt;"",INDEX('직원 마스터'!B$2:B$31,MATCH(1,('직원 마스터'!A$2:A$31=B209)*('직원 마스터'!F$2:F$31&lt;=(YEAR(A209)*100+MONTH(A209)))*(('직원 마스터'!G$2:G$31="")+('직원 마스터'!G$2:G$31&gt;=(YEAR(A209)*100+MONTH(A209)))),0)),""),"")</f>
        <v/>
      </c>
      <c r="H209" s="2" t="n"/>
    </row>
    <row r="210">
      <c r="A210" s="5" t="n">
        <v>45948</v>
      </c>
      <c r="B210" s="2" t="inlineStr">
        <is>
          <t>김채현</t>
        </is>
      </c>
      <c r="C210" s="6" t="n">
        <v>0.4375</v>
      </c>
      <c r="D210" s="6" t="n">
        <v>0.6041666666666666</v>
      </c>
      <c r="E210" s="7">
        <f>IF(AND(C210&lt;&gt;"",D210&lt;&gt;""),D210-C210,0)</f>
        <v/>
      </c>
      <c r="F210" s="3" t="n">
        <v>48000</v>
      </c>
      <c r="G210" s="8">
        <f>IFERROR(IF(B210&lt;&gt;"",INDEX('직원 마스터'!B$2:B$31,MATCH(1,('직원 마스터'!A$2:A$31=B210)*('직원 마스터'!F$2:F$31&lt;=(YEAR(A210)*100+MONTH(A210)))*(('직원 마스터'!G$2:G$31="")+('직원 마스터'!G$2:G$31&gt;=(YEAR(A210)*100+MONTH(A210)))),0)),""),"")</f>
        <v/>
      </c>
      <c r="H210" s="2" t="n"/>
    </row>
    <row r="211">
      <c r="A211" s="5" t="n">
        <v>45950</v>
      </c>
      <c r="B211" s="2" t="inlineStr">
        <is>
          <t>고경민</t>
        </is>
      </c>
      <c r="C211" s="6" t="n">
        <v>0.625</v>
      </c>
      <c r="D211" s="6" t="n">
        <v>0.7916666666666666</v>
      </c>
      <c r="E211" s="7">
        <f>IF(AND(C211&lt;&gt;"",D211&lt;&gt;""),D211-C211,0)</f>
        <v/>
      </c>
      <c r="F211" s="3" t="n">
        <v>48000</v>
      </c>
      <c r="G211" s="8">
        <f>IFERROR(IF(B211&lt;&gt;"",INDEX('직원 마스터'!B$2:B$31,MATCH(1,('직원 마스터'!A$2:A$31=B211)*('직원 마스터'!F$2:F$31&lt;=(YEAR(A211)*100+MONTH(A211)))*(('직원 마스터'!G$2:G$31="")+('직원 마스터'!G$2:G$31&gt;=(YEAR(A211)*100+MONTH(A211)))),0)),""),"")</f>
        <v/>
      </c>
      <c r="H211" s="2" t="n"/>
    </row>
    <row r="212">
      <c r="A212" s="5" t="n">
        <v>45951</v>
      </c>
      <c r="B212" s="2" t="inlineStr">
        <is>
          <t>고경민</t>
        </is>
      </c>
      <c r="C212" s="6" t="n">
        <v>0.625</v>
      </c>
      <c r="D212" s="6" t="n">
        <v>0.7916666666666666</v>
      </c>
      <c r="E212" s="7">
        <f>IF(AND(C212&lt;&gt;"",D212&lt;&gt;""),D212-C212,0)</f>
        <v/>
      </c>
      <c r="F212" s="3" t="n">
        <v>48000</v>
      </c>
      <c r="G212" s="8">
        <f>IFERROR(IF(B212&lt;&gt;"",INDEX('직원 마스터'!B$2:B$31,MATCH(1,('직원 마스터'!A$2:A$31=B212)*('직원 마스터'!F$2:F$31&lt;=(YEAR(A212)*100+MONTH(A212)))*(('직원 마스터'!G$2:G$31="")+('직원 마스터'!G$2:G$31&gt;=(YEAR(A212)*100+MONTH(A212)))),0)),""),"")</f>
        <v/>
      </c>
      <c r="H212" s="2" t="n"/>
    </row>
    <row r="213">
      <c r="A213" s="5" t="n">
        <v>45952</v>
      </c>
      <c r="B213" s="2" t="inlineStr">
        <is>
          <t>고경민</t>
        </is>
      </c>
      <c r="C213" s="6" t="n">
        <v>0.5</v>
      </c>
      <c r="D213" s="6" t="n">
        <v>0.7916666666666666</v>
      </c>
      <c r="E213" s="7">
        <f>IF(AND(C213&lt;&gt;"",D213&lt;&gt;""),D213-C213,0)</f>
        <v/>
      </c>
      <c r="F213" s="3" t="n">
        <v>84000</v>
      </c>
      <c r="G213" s="8">
        <f>IFERROR(IF(B213&lt;&gt;"",INDEX('직원 마스터'!B$2:B$31,MATCH(1,('직원 마스터'!A$2:A$31=B213)*('직원 마스터'!F$2:F$31&lt;=(YEAR(A213)*100+MONTH(A213)))*(('직원 마스터'!G$2:G$31="")+('직원 마스터'!G$2:G$31&gt;=(YEAR(A213)*100+MONTH(A213)))),0)),""),"")</f>
        <v/>
      </c>
      <c r="H213" s="2" t="n"/>
    </row>
    <row r="214">
      <c r="A214" s="5" t="n">
        <v>45953</v>
      </c>
      <c r="B214" s="2" t="inlineStr">
        <is>
          <t>김채현</t>
        </is>
      </c>
      <c r="C214" s="6" t="n">
        <v>0.625</v>
      </c>
      <c r="D214" s="6" t="n">
        <v>0.7916666666666666</v>
      </c>
      <c r="E214" s="7">
        <f>IF(AND(C214&lt;&gt;"",D214&lt;&gt;""),D214-C214,0)</f>
        <v/>
      </c>
      <c r="F214" s="3" t="n">
        <v>48000</v>
      </c>
      <c r="G214" s="8">
        <f>IFERROR(IF(B214&lt;&gt;"",INDEX('직원 마스터'!B$2:B$31,MATCH(1,('직원 마스터'!A$2:A$31=B214)*('직원 마스터'!F$2:F$31&lt;=(YEAR(A214)*100+MONTH(A214)))*(('직원 마스터'!G$2:G$31="")+('직원 마스터'!G$2:G$31&gt;=(YEAR(A214)*100+MONTH(A214)))),0)),""),"")</f>
        <v/>
      </c>
      <c r="H214" s="2" t="n"/>
    </row>
    <row r="215">
      <c r="A215" s="5" t="n">
        <v>45954</v>
      </c>
      <c r="B215" s="2" t="inlineStr">
        <is>
          <t>김채현</t>
        </is>
      </c>
      <c r="C215" s="6" t="n">
        <v>0.625</v>
      </c>
      <c r="D215" s="6" t="n">
        <v>0.7916666666666666</v>
      </c>
      <c r="E215" s="7">
        <f>IF(AND(C215&lt;&gt;"",D215&lt;&gt;""),D215-C215,0)</f>
        <v/>
      </c>
      <c r="F215" s="3" t="n">
        <v>48000</v>
      </c>
      <c r="G215" s="8">
        <f>IFERROR(IF(B215&lt;&gt;"",INDEX('직원 마스터'!B$2:B$31,MATCH(1,('직원 마스터'!A$2:A$31=B215)*('직원 마스터'!F$2:F$31&lt;=(YEAR(A215)*100+MONTH(A215)))*(('직원 마스터'!G$2:G$31="")+('직원 마스터'!G$2:G$31&gt;=(YEAR(A215)*100+MONTH(A215)))),0)),""),"")</f>
        <v/>
      </c>
      <c r="H215" s="2" t="n"/>
    </row>
    <row r="216">
      <c r="A216" s="5" t="n">
        <v>45955</v>
      </c>
      <c r="B216" s="2" t="inlineStr">
        <is>
          <t>김채현</t>
        </is>
      </c>
      <c r="C216" s="6" t="n">
        <v>0.4375</v>
      </c>
      <c r="D216" s="6" t="n">
        <v>0.6041666666666666</v>
      </c>
      <c r="E216" s="7">
        <f>IF(AND(C216&lt;&gt;"",D216&lt;&gt;""),D216-C216,0)</f>
        <v/>
      </c>
      <c r="F216" s="3" t="n">
        <v>48000</v>
      </c>
      <c r="G216" s="8">
        <f>IFERROR(IF(B216&lt;&gt;"",INDEX('직원 마스터'!B$2:B$31,MATCH(1,('직원 마스터'!A$2:A$31=B216)*('직원 마스터'!F$2:F$31&lt;=(YEAR(A216)*100+MONTH(A216)))*(('직원 마스터'!G$2:G$31="")+('직원 마스터'!G$2:G$31&gt;=(YEAR(A216)*100+MONTH(A216)))),0)),""),"")</f>
        <v/>
      </c>
      <c r="H216" s="2" t="n"/>
    </row>
    <row r="217">
      <c r="A217" s="5" t="n">
        <v>45960</v>
      </c>
      <c r="B217" s="2" t="inlineStr">
        <is>
          <t>이진화</t>
        </is>
      </c>
      <c r="C217" s="6" t="n">
        <v>0.625</v>
      </c>
      <c r="D217" s="6" t="n">
        <v>0.75</v>
      </c>
      <c r="E217" s="7">
        <f>IF(AND(C217&lt;&gt;"",D217&lt;&gt;""),D217-C217,0)</f>
        <v/>
      </c>
      <c r="F217" s="3" t="n">
        <v>36000</v>
      </c>
      <c r="G217" s="8">
        <f>IFERROR(IF(B217&lt;&gt;"",INDEX('직원 마스터'!B$2:B$31,MATCH(1,('직원 마스터'!A$2:A$31=B217)*('직원 마스터'!F$2:F$31&lt;=(YEAR(A217)*100+MONTH(A217)))*(('직원 마스터'!G$2:G$31="")+('직원 마스터'!G$2:G$31&gt;=(YEAR(A217)*100+MONTH(A217)))),0)),""),"")</f>
        <v/>
      </c>
      <c r="H217" s="2" t="n"/>
    </row>
    <row r="218">
      <c r="A218" s="5" t="n">
        <v>45961</v>
      </c>
      <c r="B218" s="2" t="inlineStr">
        <is>
          <t>이진화</t>
        </is>
      </c>
      <c r="C218" s="6" t="n">
        <v>0.6041666666666666</v>
      </c>
      <c r="D218" s="6" t="n">
        <v>0.7708333333333334</v>
      </c>
      <c r="E218" s="7">
        <f>IF(AND(C218&lt;&gt;"",D218&lt;&gt;""),D218-C218,0)</f>
        <v/>
      </c>
      <c r="F218" s="3" t="n">
        <v>48000</v>
      </c>
      <c r="G218" s="8">
        <f>IFERROR(IF(B218&lt;&gt;"",INDEX('직원 마스터'!B$2:B$31,MATCH(1,('직원 마스터'!A$2:A$31=B218)*('직원 마스터'!F$2:F$31&lt;=(YEAR(A218)*100+MONTH(A218)))*(('직원 마스터'!G$2:G$31="")+('직원 마스터'!G$2:G$31&gt;=(YEAR(A218)*100+MONTH(A218)))),0)),""),"")</f>
        <v/>
      </c>
      <c r="H218" s="2" t="n"/>
    </row>
    <row r="219">
      <c r="A219" s="5" t="n">
        <v>45962</v>
      </c>
      <c r="B219" s="2" t="inlineStr">
        <is>
          <t>이진화</t>
        </is>
      </c>
      <c r="C219" s="6" t="n">
        <v>0.4375</v>
      </c>
      <c r="D219" s="6" t="n">
        <v>0.6041666666666666</v>
      </c>
      <c r="E219" s="7">
        <f>IF(AND(C219&lt;&gt;"",D219&lt;&gt;""),D219-C219,0)</f>
        <v/>
      </c>
      <c r="F219" s="3" t="n">
        <v>48000</v>
      </c>
      <c r="G219" s="8">
        <f>IFERROR(IF(B219&lt;&gt;"",INDEX('직원 마스터'!B$2:B$31,MATCH(1,('직원 마스터'!A$2:A$31=B219)*('직원 마스터'!F$2:F$31&lt;=(YEAR(A219)*100+MONTH(A219)))*(('직원 마스터'!G$2:G$31="")+('직원 마스터'!G$2:G$31&gt;=(YEAR(A219)*100+MONTH(A219)))),0)),""),"")</f>
        <v/>
      </c>
      <c r="H219" s="2" t="n"/>
    </row>
    <row r="220">
      <c r="A220" s="5" t="n">
        <v>45967</v>
      </c>
      <c r="B220" s="2" t="inlineStr">
        <is>
          <t>이진화</t>
        </is>
      </c>
      <c r="C220" s="6" t="n">
        <v>0.625</v>
      </c>
      <c r="D220" s="6" t="n">
        <v>0.75</v>
      </c>
      <c r="E220" s="7">
        <f>IF(AND(C220&lt;&gt;"",D220&lt;&gt;""),D220-C220,0)</f>
        <v/>
      </c>
      <c r="F220" s="3" t="n">
        <v>36000</v>
      </c>
      <c r="G220" s="8">
        <f>IFERROR(IF(B220&lt;&gt;"",INDEX('직원 마스터'!B$2:B$31,MATCH(1,('직원 마스터'!A$2:A$31=B220)*('직원 마스터'!F$2:F$31&lt;=(YEAR(A220)*100+MONTH(A220)))*(('직원 마스터'!G$2:G$31="")+('직원 마스터'!G$2:G$31&gt;=(YEAR(A220)*100+MONTH(A220)))),0)),""),"")</f>
        <v/>
      </c>
      <c r="H220" s="2" t="n"/>
    </row>
    <row r="221">
      <c r="A221" s="5" t="n">
        <v>45968</v>
      </c>
      <c r="B221" s="2" t="inlineStr">
        <is>
          <t>이진화</t>
        </is>
      </c>
      <c r="C221" s="6" t="n">
        <v>0.6041666666666666</v>
      </c>
      <c r="D221" s="6" t="n">
        <v>0.7708333333333334</v>
      </c>
      <c r="E221" s="7">
        <f>IF(AND(C221&lt;&gt;"",D221&lt;&gt;""),D221-C221,0)</f>
        <v/>
      </c>
      <c r="F221" s="3" t="n">
        <v>48000</v>
      </c>
      <c r="G221" s="8">
        <f>IFERROR(IF(B221&lt;&gt;"",INDEX('직원 마스터'!B$2:B$31,MATCH(1,('직원 마스터'!A$2:A$31=B221)*('직원 마스터'!F$2:F$31&lt;=(YEAR(A221)*100+MONTH(A221)))*(('직원 마스터'!G$2:G$31="")+('직원 마스터'!G$2:G$31&gt;=(YEAR(A221)*100+MONTH(A221)))),0)),""),"")</f>
        <v/>
      </c>
      <c r="H221" s="2" t="n"/>
    </row>
    <row r="222">
      <c r="A222" s="5" t="n">
        <v>45969</v>
      </c>
      <c r="B222" s="2" t="inlineStr">
        <is>
          <t>이진화</t>
        </is>
      </c>
      <c r="C222" s="6" t="n">
        <v>0.4375</v>
      </c>
      <c r="D222" s="6" t="n">
        <v>0.6041666666666666</v>
      </c>
      <c r="E222" s="7">
        <f>IF(AND(C222&lt;&gt;"",D222&lt;&gt;""),D222-C222,0)</f>
        <v/>
      </c>
      <c r="F222" s="3" t="n">
        <v>48000</v>
      </c>
      <c r="G222" s="8">
        <f>IFERROR(IF(B222&lt;&gt;"",INDEX('직원 마스터'!B$2:B$31,MATCH(1,('직원 마스터'!A$2:A$31=B222)*('직원 마스터'!F$2:F$31&lt;=(YEAR(A222)*100+MONTH(A222)))*(('직원 마스터'!G$2:G$31="")+('직원 마스터'!G$2:G$31&gt;=(YEAR(A222)*100+MONTH(A222)))),0)),""),"")</f>
        <v/>
      </c>
      <c r="H222" s="2" t="n"/>
    </row>
    <row r="223">
      <c r="A223" s="5" t="n">
        <v>45974</v>
      </c>
      <c r="B223" s="2" t="inlineStr">
        <is>
          <t>이진화</t>
        </is>
      </c>
      <c r="C223" s="6" t="n">
        <v>0.625</v>
      </c>
      <c r="D223" s="6" t="n">
        <v>0.75</v>
      </c>
      <c r="E223" s="7">
        <f>IF(AND(C223&lt;&gt;"",D223&lt;&gt;""),D223-C223,0)</f>
        <v/>
      </c>
      <c r="F223" s="3" t="n">
        <v>36000</v>
      </c>
      <c r="G223" s="8">
        <f>IFERROR(IF(B223&lt;&gt;"",INDEX('직원 마스터'!B$2:B$31,MATCH(1,('직원 마스터'!A$2:A$31=B223)*('직원 마스터'!F$2:F$31&lt;=(YEAR(A223)*100+MONTH(A223)))*(('직원 마스터'!G$2:G$31="")+('직원 마스터'!G$2:G$31&gt;=(YEAR(A223)*100+MONTH(A223)))),0)),""),"")</f>
        <v/>
      </c>
      <c r="H223" s="2" t="n"/>
    </row>
    <row r="224">
      <c r="A224" s="5" t="n">
        <v>45975</v>
      </c>
      <c r="B224" s="2" t="inlineStr">
        <is>
          <t>이진화</t>
        </is>
      </c>
      <c r="C224" s="6" t="n">
        <v>0.6041666666666666</v>
      </c>
      <c r="D224" s="6" t="n">
        <v>0.7708333333333334</v>
      </c>
      <c r="E224" s="7">
        <f>IF(AND(C224&lt;&gt;"",D224&lt;&gt;""),D224-C224,0)</f>
        <v/>
      </c>
      <c r="F224" s="3" t="n">
        <v>48000</v>
      </c>
      <c r="G224" s="8">
        <f>IFERROR(IF(B224&lt;&gt;"",INDEX('직원 마스터'!B$2:B$31,MATCH(1,('직원 마스터'!A$2:A$31=B224)*('직원 마스터'!F$2:F$31&lt;=(YEAR(A224)*100+MONTH(A224)))*(('직원 마스터'!G$2:G$31="")+('직원 마스터'!G$2:G$31&gt;=(YEAR(A224)*100+MONTH(A224)))),0)),""),"")</f>
        <v/>
      </c>
      <c r="H224" s="2" t="n"/>
    </row>
    <row r="225">
      <c r="A225" s="5" t="n">
        <v>45976</v>
      </c>
      <c r="B225" s="2" t="inlineStr">
        <is>
          <t>이진화</t>
        </is>
      </c>
      <c r="C225" s="6" t="n">
        <v>0.4375</v>
      </c>
      <c r="D225" s="6" t="n">
        <v>0.6041666666666666</v>
      </c>
      <c r="E225" s="7">
        <f>IF(AND(C225&lt;&gt;"",D225&lt;&gt;""),D225-C225,0)</f>
        <v/>
      </c>
      <c r="F225" s="3" t="n">
        <v>48000</v>
      </c>
      <c r="G225" s="8">
        <f>IFERROR(IF(B225&lt;&gt;"",INDEX('직원 마스터'!B$2:B$31,MATCH(1,('직원 마스터'!A$2:A$31=B225)*('직원 마스터'!F$2:F$31&lt;=(YEAR(A225)*100+MONTH(A225)))*(('직원 마스터'!G$2:G$31="")+('직원 마스터'!G$2:G$31&gt;=(YEAR(A225)*100+MONTH(A225)))),0)),""),"")</f>
        <v/>
      </c>
      <c r="H225" s="2" t="n"/>
    </row>
    <row r="226">
      <c r="A226" s="5" t="n">
        <v>45981</v>
      </c>
      <c r="B226" s="2" t="inlineStr">
        <is>
          <t>이진화</t>
        </is>
      </c>
      <c r="C226" s="6" t="n">
        <v>0.625</v>
      </c>
      <c r="D226" s="6" t="n">
        <v>0.75</v>
      </c>
      <c r="E226" s="7">
        <f>IF(AND(C226&lt;&gt;"",D226&lt;&gt;""),D226-C226,0)</f>
        <v/>
      </c>
      <c r="F226" s="3" t="n">
        <v>36000</v>
      </c>
      <c r="G226" s="8">
        <f>IFERROR(IF(B226&lt;&gt;"",INDEX('직원 마스터'!B$2:B$31,MATCH(1,('직원 마스터'!A$2:A$31=B226)*('직원 마스터'!F$2:F$31&lt;=(YEAR(A226)*100+MONTH(A226)))*(('직원 마스터'!G$2:G$31="")+('직원 마스터'!G$2:G$31&gt;=(YEAR(A226)*100+MONTH(A226)))),0)),""),"")</f>
        <v/>
      </c>
      <c r="H226" s="2" t="n"/>
    </row>
    <row r="227">
      <c r="A227" s="5" t="n">
        <v>45982</v>
      </c>
      <c r="B227" s="2" t="inlineStr">
        <is>
          <t>이진화</t>
        </is>
      </c>
      <c r="C227" s="6" t="n">
        <v>0.6041666666666666</v>
      </c>
      <c r="D227" s="6" t="n">
        <v>0.7708333333333334</v>
      </c>
      <c r="E227" s="7">
        <f>IF(AND(C227&lt;&gt;"",D227&lt;&gt;""),D227-C227,0)</f>
        <v/>
      </c>
      <c r="F227" s="3" t="n">
        <v>48000</v>
      </c>
      <c r="G227" s="8">
        <f>IFERROR(IF(B227&lt;&gt;"",INDEX('직원 마스터'!B$2:B$31,MATCH(1,('직원 마스터'!A$2:A$31=B227)*('직원 마스터'!F$2:F$31&lt;=(YEAR(A227)*100+MONTH(A227)))*(('직원 마스터'!G$2:G$31="")+('직원 마스터'!G$2:G$31&gt;=(YEAR(A227)*100+MONTH(A227)))),0)),""),"")</f>
        <v/>
      </c>
      <c r="H227" s="2" t="n"/>
    </row>
    <row r="228">
      <c r="A228" s="5" t="n">
        <v>45988</v>
      </c>
      <c r="B228" s="2" t="inlineStr">
        <is>
          <t>이진화</t>
        </is>
      </c>
      <c r="C228" s="6" t="n">
        <v>0.625</v>
      </c>
      <c r="D228" s="6" t="n">
        <v>0.75</v>
      </c>
      <c r="E228" s="7">
        <f>IF(AND(C228&lt;&gt;"",D228&lt;&gt;""),D228-C228,0)</f>
        <v/>
      </c>
      <c r="F228" s="3" t="n">
        <v>36000</v>
      </c>
      <c r="G228" s="8">
        <f>IFERROR(IF(B228&lt;&gt;"",INDEX('직원 마스터'!B$2:B$31,MATCH(1,('직원 마스터'!A$2:A$31=B228)*('직원 마스터'!F$2:F$31&lt;=(YEAR(A228)*100+MONTH(A228)))*(('직원 마스터'!G$2:G$31="")+('직원 마스터'!G$2:G$31&gt;=(YEAR(A228)*100+MONTH(A228)))),0)),""),"")</f>
        <v/>
      </c>
      <c r="H228" s="2" t="n"/>
    </row>
    <row r="229">
      <c r="A229" s="5" t="n">
        <v>45989</v>
      </c>
      <c r="B229" s="2" t="inlineStr">
        <is>
          <t>이진화</t>
        </is>
      </c>
      <c r="C229" s="6" t="n">
        <v>0.6041666666666666</v>
      </c>
      <c r="D229" s="6" t="n">
        <v>0.7708333333333334</v>
      </c>
      <c r="E229" s="7">
        <f>IF(AND(C229&lt;&gt;"",D229&lt;&gt;""),D229-C229,0)</f>
        <v/>
      </c>
      <c r="F229" s="3" t="n">
        <v>48000</v>
      </c>
      <c r="G229" s="8">
        <f>IFERROR(IF(B229&lt;&gt;"",INDEX('직원 마스터'!B$2:B$31,MATCH(1,('직원 마스터'!A$2:A$31=B229)*('직원 마스터'!F$2:F$31&lt;=(YEAR(A229)*100+MONTH(A229)))*(('직원 마스터'!G$2:G$31="")+('직원 마스터'!G$2:G$31&gt;=(YEAR(A229)*100+MONTH(A229)))),0)),""),"")</f>
        <v/>
      </c>
      <c r="H229" s="2" t="n"/>
    </row>
    <row r="230">
      <c r="A230" s="5" t="n">
        <v>45990</v>
      </c>
      <c r="B230" s="2" t="inlineStr">
        <is>
          <t>이진화</t>
        </is>
      </c>
      <c r="C230" s="6" t="n">
        <v>0.4375</v>
      </c>
      <c r="D230" s="6" t="n">
        <v>0.6041666666666666</v>
      </c>
      <c r="E230" s="7">
        <f>IF(AND(C230&lt;&gt;"",D230&lt;&gt;""),D230-C230,0)</f>
        <v/>
      </c>
      <c r="F230" s="3" t="n">
        <v>48000</v>
      </c>
      <c r="G230" s="8">
        <f>IFERROR(IF(B230&lt;&gt;"",INDEX('직원 마스터'!B$2:B$31,MATCH(1,('직원 마스터'!A$2:A$31=B230)*('직원 마스터'!F$2:F$31&lt;=(YEAR(A230)*100+MONTH(A230)))*(('직원 마스터'!G$2:G$31="")+('직원 마스터'!G$2:G$31&gt;=(YEAR(A230)*100+MONTH(A230)))),0)),""),"")</f>
        <v/>
      </c>
      <c r="H230" s="2" t="n"/>
    </row>
    <row r="231">
      <c r="A231" s="5" t="n">
        <v>45995</v>
      </c>
      <c r="B231" s="2" t="inlineStr">
        <is>
          <t>이진화</t>
        </is>
      </c>
      <c r="C231" s="6" t="n">
        <v>0.625</v>
      </c>
      <c r="D231" s="6" t="n">
        <v>0.75</v>
      </c>
      <c r="E231" s="7">
        <f>IF(AND(C231&lt;&gt;"",D231&lt;&gt;""),D231-C231,0)</f>
        <v/>
      </c>
      <c r="F231" s="3" t="n">
        <v>36000</v>
      </c>
      <c r="G231" s="8">
        <f>IFERROR(IF(B231&lt;&gt;"",INDEX('직원 마스터'!B$2:B$31,MATCH(1,('직원 마스터'!A$2:A$31=B231)*('직원 마스터'!F$2:F$31&lt;=(YEAR(A231)*100+MONTH(A231)))*(('직원 마스터'!G$2:G$31="")+('직원 마스터'!G$2:G$31&gt;=(YEAR(A231)*100+MONTH(A231)))),0)),""),"")</f>
        <v/>
      </c>
      <c r="H231" s="2" t="n"/>
    </row>
    <row r="232">
      <c r="A232" s="5" t="n">
        <v>45996</v>
      </c>
      <c r="B232" s="2" t="inlineStr">
        <is>
          <t>이진화</t>
        </is>
      </c>
      <c r="C232" s="6" t="n">
        <v>0.6041666666666666</v>
      </c>
      <c r="D232" s="6" t="n">
        <v>0.7708333333333334</v>
      </c>
      <c r="E232" s="7">
        <f>IF(AND(C232&lt;&gt;"",D232&lt;&gt;""),D232-C232,0)</f>
        <v/>
      </c>
      <c r="F232" s="3" t="n">
        <v>48000</v>
      </c>
      <c r="G232" s="8">
        <f>IFERROR(IF(B232&lt;&gt;"",INDEX('직원 마스터'!B$2:B$31,MATCH(1,('직원 마스터'!A$2:A$31=B232)*('직원 마스터'!F$2:F$31&lt;=(YEAR(A232)*100+MONTH(A232)))*(('직원 마스터'!G$2:G$31="")+('직원 마스터'!G$2:G$31&gt;=(YEAR(A232)*100+MONTH(A232)))),0)),""),"")</f>
        <v/>
      </c>
      <c r="H232" s="2" t="n"/>
    </row>
    <row r="233">
      <c r="A233" s="5" t="n">
        <v>45997</v>
      </c>
      <c r="B233" s="2" t="inlineStr">
        <is>
          <t>이진화</t>
        </is>
      </c>
      <c r="C233" s="6" t="n">
        <v>0.4375</v>
      </c>
      <c r="D233" s="6" t="n">
        <v>0.6041666666666666</v>
      </c>
      <c r="E233" s="7">
        <f>IF(AND(C233&lt;&gt;"",D233&lt;&gt;""),D233-C233,0)</f>
        <v/>
      </c>
      <c r="F233" s="3" t="n">
        <v>48000</v>
      </c>
      <c r="G233" s="8">
        <f>IFERROR(IF(B233&lt;&gt;"",INDEX('직원 마스터'!B$2:B$31,MATCH(1,('직원 마스터'!A$2:A$31=B233)*('직원 마스터'!F$2:F$31&lt;=(YEAR(A233)*100+MONTH(A233)))*(('직원 마스터'!G$2:G$31="")+('직원 마스터'!G$2:G$31&gt;=(YEAR(A233)*100+MONTH(A233)))),0)),""),"")</f>
        <v/>
      </c>
      <c r="H233" s="2" t="n"/>
    </row>
    <row r="234">
      <c r="A234" s="5" t="n">
        <v>46002</v>
      </c>
      <c r="B234" s="2" t="inlineStr">
        <is>
          <t>이진화</t>
        </is>
      </c>
      <c r="C234" s="6" t="n">
        <v>0.625</v>
      </c>
      <c r="D234" s="6" t="n">
        <v>0.75</v>
      </c>
      <c r="E234" s="7">
        <f>IF(AND(C234&lt;&gt;"",D234&lt;&gt;""),D234-C234,0)</f>
        <v/>
      </c>
      <c r="F234" s="3" t="n">
        <v>36000</v>
      </c>
      <c r="G234" s="8">
        <f>IFERROR(IF(B234&lt;&gt;"",INDEX('직원 마스터'!B$2:B$31,MATCH(1,('직원 마스터'!A$2:A$31=B234)*('직원 마스터'!F$2:F$31&lt;=(YEAR(A234)*100+MONTH(A234)))*(('직원 마스터'!G$2:G$31="")+('직원 마스터'!G$2:G$31&gt;=(YEAR(A234)*100+MONTH(A234)))),0)),""),"")</f>
        <v/>
      </c>
      <c r="H234" s="2" t="n"/>
    </row>
    <row r="235">
      <c r="A235" s="5" t="n">
        <v>46003</v>
      </c>
      <c r="B235" s="2" t="inlineStr">
        <is>
          <t>이진화</t>
        </is>
      </c>
      <c r="C235" s="6" t="n">
        <v>0.6041666666666666</v>
      </c>
      <c r="D235" s="6" t="n">
        <v>0.7708333333333334</v>
      </c>
      <c r="E235" s="7">
        <f>IF(AND(C235&lt;&gt;"",D235&lt;&gt;""),D235-C235,0)</f>
        <v/>
      </c>
      <c r="F235" s="3" t="n">
        <v>48000</v>
      </c>
      <c r="G235" s="8">
        <f>IFERROR(IF(B235&lt;&gt;"",INDEX('직원 마스터'!B$2:B$31,MATCH(1,('직원 마스터'!A$2:A$31=B235)*('직원 마스터'!F$2:F$31&lt;=(YEAR(A235)*100+MONTH(A235)))*(('직원 마스터'!G$2:G$31="")+('직원 마스터'!G$2:G$31&gt;=(YEAR(A235)*100+MONTH(A235)))),0)),""),"")</f>
        <v/>
      </c>
      <c r="H235" s="2" t="n"/>
    </row>
    <row r="236">
      <c r="A236" s="5" t="n">
        <v>46009</v>
      </c>
      <c r="B236" s="2" t="inlineStr">
        <is>
          <t>이진화</t>
        </is>
      </c>
      <c r="C236" s="6" t="n">
        <v>0.625</v>
      </c>
      <c r="D236" s="6" t="n">
        <v>0.75</v>
      </c>
      <c r="E236" s="7">
        <f>IF(AND(C236&lt;&gt;"",D236&lt;&gt;""),D236-C236,0)</f>
        <v/>
      </c>
      <c r="F236" s="3" t="n">
        <v>36000</v>
      </c>
      <c r="G236" s="8">
        <f>IFERROR(IF(B236&lt;&gt;"",INDEX('직원 마스터'!B$2:B$31,MATCH(1,('직원 마스터'!A$2:A$31=B236)*('직원 마스터'!F$2:F$31&lt;=(YEAR(A236)*100+MONTH(A236)))*(('직원 마스터'!G$2:G$31="")+('직원 마스터'!G$2:G$31&gt;=(YEAR(A236)*100+MONTH(A236)))),0)),""),"")</f>
        <v/>
      </c>
      <c r="H236" s="2" t="n"/>
    </row>
    <row r="237">
      <c r="A237" s="5" t="n">
        <v>46010</v>
      </c>
      <c r="B237" s="2" t="inlineStr">
        <is>
          <t>이진화</t>
        </is>
      </c>
      <c r="C237" s="6" t="n">
        <v>0.6041666666666666</v>
      </c>
      <c r="D237" s="6" t="n">
        <v>0.7708333333333334</v>
      </c>
      <c r="E237" s="7">
        <f>IF(AND(C237&lt;&gt;"",D237&lt;&gt;""),D237-C237,0)</f>
        <v/>
      </c>
      <c r="F237" s="3" t="n">
        <v>48000</v>
      </c>
      <c r="G237" s="8">
        <f>IFERROR(IF(B237&lt;&gt;"",INDEX('직원 마스터'!B$2:B$31,MATCH(1,('직원 마스터'!A$2:A$31=B237)*('직원 마스터'!F$2:F$31&lt;=(YEAR(A237)*100+MONTH(A237)))*(('직원 마스터'!G$2:G$31="")+('직원 마스터'!G$2:G$31&gt;=(YEAR(A237)*100+MONTH(A237)))),0)),""),"")</f>
        <v/>
      </c>
      <c r="H237" s="2" t="n"/>
    </row>
    <row r="238">
      <c r="A238" s="5" t="n">
        <v>46011</v>
      </c>
      <c r="B238" s="2" t="inlineStr">
        <is>
          <t>이진화</t>
        </is>
      </c>
      <c r="C238" s="6" t="n">
        <v>0.4375</v>
      </c>
      <c r="D238" s="6" t="n">
        <v>0.6041666666666666</v>
      </c>
      <c r="E238" s="7">
        <f>IF(AND(C238&lt;&gt;"",D238&lt;&gt;""),D238-C238,0)</f>
        <v/>
      </c>
      <c r="F238" s="3" t="n">
        <v>48000</v>
      </c>
      <c r="G238" s="8">
        <f>IFERROR(IF(B238&lt;&gt;"",INDEX('직원 마스터'!B$2:B$31,MATCH(1,('직원 마스터'!A$2:A$31=B238)*('직원 마스터'!F$2:F$31&lt;=(YEAR(A238)*100+MONTH(A238)))*(('직원 마스터'!G$2:G$31="")+('직원 마스터'!G$2:G$31&gt;=(YEAR(A238)*100+MONTH(A238)))),0)),""),"")</f>
        <v/>
      </c>
      <c r="H238" s="2" t="n"/>
    </row>
    <row r="239">
      <c r="A239" s="5" t="n"/>
      <c r="B239" s="2" t="n"/>
      <c r="C239" s="6" t="n"/>
      <c r="D239" s="6" t="n"/>
      <c r="E239" s="7">
        <f>IF(AND(C239&lt;&gt;"",D239&lt;&gt;""),D239-C239,0)</f>
        <v/>
      </c>
      <c r="F239" s="9">
        <f>IFERROR(IF(AND(B239&lt;&gt;"",G239="시급"),E239*24*INDEX('직원 마스터'!C$2:C$31,MATCH(1,('직원 마스터'!A$2:A$31=B239)*('직원 마스터'!F$2:F$31&lt;=(YEAR(A239)*100+MONTH(A239)))*(('직원 마스터'!G$2:G$31="")+('직원 마스터'!G$2:G$31&gt;=(YEAR(A239)*100+MONTH(A239)))),0)),0),0)</f>
        <v/>
      </c>
      <c r="G239" s="8">
        <f>IFERROR(IF(B239&lt;&gt;"",INDEX('직원 마스터'!B$2:B$31,MATCH(1,('직원 마스터'!A$2:A$31=B239)*('직원 마스터'!F$2:F$31&lt;=(YEAR(A239)*100+MONTH(A239)))*(('직원 마스터'!G$2:G$31="")+('직원 마스터'!G$2:G$31&gt;=(YEAR(A239)*100+MONTH(A239)))),0)),""),"")</f>
        <v/>
      </c>
      <c r="H239" s="2" t="n"/>
    </row>
    <row r="240">
      <c r="A240" s="5" t="n"/>
      <c r="B240" s="2" t="n"/>
      <c r="C240" s="6" t="n"/>
      <c r="D240" s="6" t="n"/>
      <c r="E240" s="7">
        <f>IF(AND(C240&lt;&gt;"",D240&lt;&gt;""),D240-C240,0)</f>
        <v/>
      </c>
      <c r="F240" s="9">
        <f>IFERROR(IF(AND(B240&lt;&gt;"",G240="시급"),E240*24*INDEX('직원 마스터'!C$2:C$31,MATCH(1,('직원 마스터'!A$2:A$31=B240)*('직원 마스터'!F$2:F$31&lt;=(YEAR(A240)*100+MONTH(A240)))*(('직원 마스터'!G$2:G$31="")+('직원 마스터'!G$2:G$31&gt;=(YEAR(A240)*100+MONTH(A240)))),0)),0),0)</f>
        <v/>
      </c>
      <c r="G240" s="8">
        <f>IFERROR(IF(B240&lt;&gt;"",INDEX('직원 마스터'!B$2:B$31,MATCH(1,('직원 마스터'!A$2:A$31=B240)*('직원 마스터'!F$2:F$31&lt;=(YEAR(A240)*100+MONTH(A240)))*(('직원 마스터'!G$2:G$31="")+('직원 마스터'!G$2:G$31&gt;=(YEAR(A240)*100+MONTH(A240)))),0)),""),"")</f>
        <v/>
      </c>
      <c r="H240" s="2" t="n"/>
    </row>
    <row r="241">
      <c r="A241" s="5" t="n"/>
      <c r="B241" s="2" t="n"/>
      <c r="C241" s="6" t="n"/>
      <c r="D241" s="6" t="n"/>
      <c r="E241" s="7">
        <f>IF(AND(C241&lt;&gt;"",D241&lt;&gt;""),D241-C241,0)</f>
        <v/>
      </c>
      <c r="F241" s="9">
        <f>IFERROR(IF(AND(B241&lt;&gt;"",G241="시급"),E241*24*INDEX('직원 마스터'!C$2:C$31,MATCH(1,('직원 마스터'!A$2:A$31=B241)*('직원 마스터'!F$2:F$31&lt;=(YEAR(A241)*100+MONTH(A241)))*(('직원 마스터'!G$2:G$31="")+('직원 마스터'!G$2:G$31&gt;=(YEAR(A241)*100+MONTH(A241)))),0)),0),0)</f>
        <v/>
      </c>
      <c r="G241" s="8">
        <f>IFERROR(IF(B241&lt;&gt;"",INDEX('직원 마스터'!B$2:B$31,MATCH(1,('직원 마스터'!A$2:A$31=B241)*('직원 마스터'!F$2:F$31&lt;=(YEAR(A241)*100+MONTH(A241)))*(('직원 마스터'!G$2:G$31="")+('직원 마스터'!G$2:G$31&gt;=(YEAR(A241)*100+MONTH(A241)))),0)),""),"")</f>
        <v/>
      </c>
      <c r="H241" s="2" t="n"/>
    </row>
    <row r="242">
      <c r="A242" s="5" t="n"/>
      <c r="B242" s="2" t="n"/>
      <c r="C242" s="6" t="n"/>
      <c r="D242" s="6" t="n"/>
      <c r="E242" s="7">
        <f>IF(AND(C242&lt;&gt;"",D242&lt;&gt;""),D242-C242,0)</f>
        <v/>
      </c>
      <c r="F242" s="9">
        <f>IFERROR(IF(AND(B242&lt;&gt;"",G242="시급"),E242*24*INDEX('직원 마스터'!C$2:C$31,MATCH(1,('직원 마스터'!A$2:A$31=B242)*('직원 마스터'!F$2:F$31&lt;=(YEAR(A242)*100+MONTH(A242)))*(('직원 마스터'!G$2:G$31="")+('직원 마스터'!G$2:G$31&gt;=(YEAR(A242)*100+MONTH(A242)))),0)),0),0)</f>
        <v/>
      </c>
      <c r="G242" s="8">
        <f>IFERROR(IF(B242&lt;&gt;"",INDEX('직원 마스터'!B$2:B$31,MATCH(1,('직원 마스터'!A$2:A$31=B242)*('직원 마스터'!F$2:F$31&lt;=(YEAR(A242)*100+MONTH(A242)))*(('직원 마스터'!G$2:G$31="")+('직원 마스터'!G$2:G$31&gt;=(YEAR(A242)*100+MONTH(A242)))),0)),""),"")</f>
        <v/>
      </c>
      <c r="H242" s="2" t="n"/>
    </row>
    <row r="243">
      <c r="A243" s="5" t="n"/>
      <c r="B243" s="2" t="n"/>
      <c r="C243" s="6" t="n"/>
      <c r="D243" s="6" t="n"/>
      <c r="E243" s="7">
        <f>IF(AND(C243&lt;&gt;"",D243&lt;&gt;""),D243-C243,0)</f>
        <v/>
      </c>
      <c r="F243" s="9">
        <f>IFERROR(IF(AND(B243&lt;&gt;"",G243="시급"),E243*24*INDEX('직원 마스터'!C$2:C$31,MATCH(1,('직원 마스터'!A$2:A$31=B243)*('직원 마스터'!F$2:F$31&lt;=(YEAR(A243)*100+MONTH(A243)))*(('직원 마스터'!G$2:G$31="")+('직원 마스터'!G$2:G$31&gt;=(YEAR(A243)*100+MONTH(A243)))),0)),0),0)</f>
        <v/>
      </c>
      <c r="G243" s="8">
        <f>IFERROR(IF(B243&lt;&gt;"",INDEX('직원 마스터'!B$2:B$31,MATCH(1,('직원 마스터'!A$2:A$31=B243)*('직원 마스터'!F$2:F$31&lt;=(YEAR(A243)*100+MONTH(A243)))*(('직원 마스터'!G$2:G$31="")+('직원 마스터'!G$2:G$31&gt;=(YEAR(A243)*100+MONTH(A243)))),0)),""),"")</f>
        <v/>
      </c>
      <c r="H243" s="2" t="n"/>
    </row>
    <row r="244">
      <c r="A244" s="5" t="n"/>
      <c r="B244" s="2" t="n"/>
      <c r="C244" s="6" t="n"/>
      <c r="D244" s="6" t="n"/>
      <c r="E244" s="7">
        <f>IF(AND(C244&lt;&gt;"",D244&lt;&gt;""),D244-C244,0)</f>
        <v/>
      </c>
      <c r="F244" s="9">
        <f>IFERROR(IF(AND(B244&lt;&gt;"",G244="시급"),E244*24*INDEX('직원 마스터'!C$2:C$31,MATCH(1,('직원 마스터'!A$2:A$31=B244)*('직원 마스터'!F$2:F$31&lt;=(YEAR(A244)*100+MONTH(A244)))*(('직원 마스터'!G$2:G$31="")+('직원 마스터'!G$2:G$31&gt;=(YEAR(A244)*100+MONTH(A244)))),0)),0),0)</f>
        <v/>
      </c>
      <c r="G244" s="8">
        <f>IFERROR(IF(B244&lt;&gt;"",INDEX('직원 마스터'!B$2:B$31,MATCH(1,('직원 마스터'!A$2:A$31=B244)*('직원 마스터'!F$2:F$31&lt;=(YEAR(A244)*100+MONTH(A244)))*(('직원 마스터'!G$2:G$31="")+('직원 마스터'!G$2:G$31&gt;=(YEAR(A244)*100+MONTH(A244)))),0)),""),"")</f>
        <v/>
      </c>
      <c r="H244" s="2" t="n"/>
    </row>
    <row r="245">
      <c r="A245" s="5" t="n"/>
      <c r="B245" s="2" t="n"/>
      <c r="C245" s="6" t="n"/>
      <c r="D245" s="6" t="n"/>
      <c r="E245" s="7">
        <f>IF(AND(C245&lt;&gt;"",D245&lt;&gt;""),D245-C245,0)</f>
        <v/>
      </c>
      <c r="F245" s="9">
        <f>IFERROR(IF(AND(B245&lt;&gt;"",G245="시급"),E245*24*INDEX('직원 마스터'!C$2:C$31,MATCH(1,('직원 마스터'!A$2:A$31=B245)*('직원 마스터'!F$2:F$31&lt;=(YEAR(A245)*100+MONTH(A245)))*(('직원 마스터'!G$2:G$31="")+('직원 마스터'!G$2:G$31&gt;=(YEAR(A245)*100+MONTH(A245)))),0)),0),0)</f>
        <v/>
      </c>
      <c r="G245" s="8">
        <f>IFERROR(IF(B245&lt;&gt;"",INDEX('직원 마스터'!B$2:B$31,MATCH(1,('직원 마스터'!A$2:A$31=B245)*('직원 마스터'!F$2:F$31&lt;=(YEAR(A245)*100+MONTH(A245)))*(('직원 마스터'!G$2:G$31="")+('직원 마스터'!G$2:G$31&gt;=(YEAR(A245)*100+MONTH(A245)))),0)),""),"")</f>
        <v/>
      </c>
      <c r="H245" s="2" t="n"/>
    </row>
    <row r="246">
      <c r="A246" s="5" t="n"/>
      <c r="B246" s="2" t="n"/>
      <c r="C246" s="6" t="n"/>
      <c r="D246" s="6" t="n"/>
      <c r="E246" s="7">
        <f>IF(AND(C246&lt;&gt;"",D246&lt;&gt;""),D246-C246,0)</f>
        <v/>
      </c>
      <c r="F246" s="9">
        <f>IFERROR(IF(AND(B246&lt;&gt;"",G246="시급"),E246*24*INDEX('직원 마스터'!C$2:C$31,MATCH(1,('직원 마스터'!A$2:A$31=B246)*('직원 마스터'!F$2:F$31&lt;=(YEAR(A246)*100+MONTH(A246)))*(('직원 마스터'!G$2:G$31="")+('직원 마스터'!G$2:G$31&gt;=(YEAR(A246)*100+MONTH(A246)))),0)),0),0)</f>
        <v/>
      </c>
      <c r="G246" s="8">
        <f>IFERROR(IF(B246&lt;&gt;"",INDEX('직원 마스터'!B$2:B$31,MATCH(1,('직원 마스터'!A$2:A$31=B246)*('직원 마스터'!F$2:F$31&lt;=(YEAR(A246)*100+MONTH(A246)))*(('직원 마스터'!G$2:G$31="")+('직원 마스터'!G$2:G$31&gt;=(YEAR(A246)*100+MONTH(A246)))),0)),""),"")</f>
        <v/>
      </c>
      <c r="H246" s="2" t="n"/>
    </row>
    <row r="247">
      <c r="A247" s="5" t="n"/>
      <c r="B247" s="2" t="n"/>
      <c r="C247" s="6" t="n"/>
      <c r="D247" s="6" t="n"/>
      <c r="E247" s="7">
        <f>IF(AND(C247&lt;&gt;"",D247&lt;&gt;""),D247-C247,0)</f>
        <v/>
      </c>
      <c r="F247" s="9">
        <f>IFERROR(IF(AND(B247&lt;&gt;"",G247="시급"),E247*24*INDEX('직원 마스터'!C$2:C$31,MATCH(1,('직원 마스터'!A$2:A$31=B247)*('직원 마스터'!F$2:F$31&lt;=(YEAR(A247)*100+MONTH(A247)))*(('직원 마스터'!G$2:G$31="")+('직원 마스터'!G$2:G$31&gt;=(YEAR(A247)*100+MONTH(A247)))),0)),0),0)</f>
        <v/>
      </c>
      <c r="G247" s="8">
        <f>IFERROR(IF(B247&lt;&gt;"",INDEX('직원 마스터'!B$2:B$31,MATCH(1,('직원 마스터'!A$2:A$31=B247)*('직원 마스터'!F$2:F$31&lt;=(YEAR(A247)*100+MONTH(A247)))*(('직원 마스터'!G$2:G$31="")+('직원 마스터'!G$2:G$31&gt;=(YEAR(A247)*100+MONTH(A247)))),0)),""),"")</f>
        <v/>
      </c>
      <c r="H247" s="2" t="n"/>
    </row>
    <row r="248">
      <c r="A248" s="5" t="n"/>
      <c r="B248" s="2" t="n"/>
      <c r="C248" s="6" t="n"/>
      <c r="D248" s="6" t="n"/>
      <c r="E248" s="7">
        <f>IF(AND(C248&lt;&gt;"",D248&lt;&gt;""),D248-C248,0)</f>
        <v/>
      </c>
      <c r="F248" s="9">
        <f>IFERROR(IF(AND(B248&lt;&gt;"",G248="시급"),E248*24*INDEX('직원 마스터'!C$2:C$31,MATCH(1,('직원 마스터'!A$2:A$31=B248)*('직원 마스터'!F$2:F$31&lt;=(YEAR(A248)*100+MONTH(A248)))*(('직원 마스터'!G$2:G$31="")+('직원 마스터'!G$2:G$31&gt;=(YEAR(A248)*100+MONTH(A248)))),0)),0),0)</f>
        <v/>
      </c>
      <c r="G248" s="8">
        <f>IFERROR(IF(B248&lt;&gt;"",INDEX('직원 마스터'!B$2:B$31,MATCH(1,('직원 마스터'!A$2:A$31=B248)*('직원 마스터'!F$2:F$31&lt;=(YEAR(A248)*100+MONTH(A248)))*(('직원 마스터'!G$2:G$31="")+('직원 마스터'!G$2:G$31&gt;=(YEAR(A248)*100+MONTH(A248)))),0)),""),"")</f>
        <v/>
      </c>
      <c r="H248" s="2" t="n"/>
    </row>
    <row r="249">
      <c r="A249" s="5" t="n"/>
      <c r="B249" s="2" t="n"/>
      <c r="C249" s="6" t="n"/>
      <c r="D249" s="6" t="n"/>
      <c r="E249" s="7">
        <f>IF(AND(C249&lt;&gt;"",D249&lt;&gt;""),D249-C249,0)</f>
        <v/>
      </c>
      <c r="F249" s="9">
        <f>IFERROR(IF(AND(B249&lt;&gt;"",G249="시급"),E249*24*INDEX('직원 마스터'!C$2:C$31,MATCH(1,('직원 마스터'!A$2:A$31=B249)*('직원 마스터'!F$2:F$31&lt;=(YEAR(A249)*100+MONTH(A249)))*(('직원 마스터'!G$2:G$31="")+('직원 마스터'!G$2:G$31&gt;=(YEAR(A249)*100+MONTH(A249)))),0)),0),0)</f>
        <v/>
      </c>
      <c r="G249" s="8">
        <f>IFERROR(IF(B249&lt;&gt;"",INDEX('직원 마스터'!B$2:B$31,MATCH(1,('직원 마스터'!A$2:A$31=B249)*('직원 마스터'!F$2:F$31&lt;=(YEAR(A249)*100+MONTH(A249)))*(('직원 마스터'!G$2:G$31="")+('직원 마스터'!G$2:G$31&gt;=(YEAR(A249)*100+MONTH(A249)))),0)),""),"")</f>
        <v/>
      </c>
      <c r="H249" s="2" t="n"/>
    </row>
    <row r="250">
      <c r="A250" s="5" t="n"/>
      <c r="B250" s="2" t="n"/>
      <c r="C250" s="6" t="n"/>
      <c r="D250" s="6" t="n"/>
      <c r="E250" s="7">
        <f>IF(AND(C250&lt;&gt;"",D250&lt;&gt;""),D250-C250,0)</f>
        <v/>
      </c>
      <c r="F250" s="9">
        <f>IFERROR(IF(AND(B250&lt;&gt;"",G250="시급"),E250*24*INDEX('직원 마스터'!C$2:C$31,MATCH(1,('직원 마스터'!A$2:A$31=B250)*('직원 마스터'!F$2:F$31&lt;=(YEAR(A250)*100+MONTH(A250)))*(('직원 마스터'!G$2:G$31="")+('직원 마스터'!G$2:G$31&gt;=(YEAR(A250)*100+MONTH(A250)))),0)),0),0)</f>
        <v/>
      </c>
      <c r="G250" s="8">
        <f>IFERROR(IF(B250&lt;&gt;"",INDEX('직원 마스터'!B$2:B$31,MATCH(1,('직원 마스터'!A$2:A$31=B250)*('직원 마스터'!F$2:F$31&lt;=(YEAR(A250)*100+MONTH(A250)))*(('직원 마스터'!G$2:G$31="")+('직원 마스터'!G$2:G$31&gt;=(YEAR(A250)*100+MONTH(A250)))),0)),""),"")</f>
        <v/>
      </c>
      <c r="H250" s="2" t="n"/>
    </row>
    <row r="251">
      <c r="A251" s="5" t="n"/>
      <c r="B251" s="2" t="n"/>
      <c r="C251" s="6" t="n"/>
      <c r="D251" s="6" t="n"/>
      <c r="E251" s="7">
        <f>IF(AND(C251&lt;&gt;"",D251&lt;&gt;""),D251-C251,0)</f>
        <v/>
      </c>
      <c r="F251" s="9">
        <f>IFERROR(IF(AND(B251&lt;&gt;"",G251="시급"),E251*24*INDEX('직원 마스터'!C$2:C$31,MATCH(1,('직원 마스터'!A$2:A$31=B251)*('직원 마스터'!F$2:F$31&lt;=(YEAR(A251)*100+MONTH(A251)))*(('직원 마스터'!G$2:G$31="")+('직원 마스터'!G$2:G$31&gt;=(YEAR(A251)*100+MONTH(A251)))),0)),0),0)</f>
        <v/>
      </c>
      <c r="G251" s="8">
        <f>IFERROR(IF(B251&lt;&gt;"",INDEX('직원 마스터'!B$2:B$31,MATCH(1,('직원 마스터'!A$2:A$31=B251)*('직원 마스터'!F$2:F$31&lt;=(YEAR(A251)*100+MONTH(A251)))*(('직원 마스터'!G$2:G$31="")+('직원 마스터'!G$2:G$31&gt;=(YEAR(A251)*100+MONTH(A251)))),0)),""),"")</f>
        <v/>
      </c>
      <c r="H251" s="2" t="n"/>
    </row>
    <row r="252">
      <c r="A252" s="5" t="n"/>
      <c r="B252" s="2" t="n"/>
      <c r="C252" s="6" t="n"/>
      <c r="D252" s="6" t="n"/>
      <c r="E252" s="7">
        <f>IF(AND(C252&lt;&gt;"",D252&lt;&gt;""),D252-C252,0)</f>
        <v/>
      </c>
      <c r="F252" s="9">
        <f>IFERROR(IF(AND(B252&lt;&gt;"",G252="시급"),E252*24*INDEX('직원 마스터'!C$2:C$31,MATCH(1,('직원 마스터'!A$2:A$31=B252)*('직원 마스터'!F$2:F$31&lt;=(YEAR(A252)*100+MONTH(A252)))*(('직원 마스터'!G$2:G$31="")+('직원 마스터'!G$2:G$31&gt;=(YEAR(A252)*100+MONTH(A252)))),0)),0),0)</f>
        <v/>
      </c>
      <c r="G252" s="8">
        <f>IFERROR(IF(B252&lt;&gt;"",INDEX('직원 마스터'!B$2:B$31,MATCH(1,('직원 마스터'!A$2:A$31=B252)*('직원 마스터'!F$2:F$31&lt;=(YEAR(A252)*100+MONTH(A252)))*(('직원 마스터'!G$2:G$31="")+('직원 마스터'!G$2:G$31&gt;=(YEAR(A252)*100+MONTH(A252)))),0)),""),"")</f>
        <v/>
      </c>
      <c r="H252" s="2" t="n"/>
    </row>
    <row r="253">
      <c r="A253" s="5" t="n"/>
      <c r="B253" s="2" t="n"/>
      <c r="C253" s="6" t="n"/>
      <c r="D253" s="6" t="n"/>
      <c r="E253" s="7">
        <f>IF(AND(C253&lt;&gt;"",D253&lt;&gt;""),D253-C253,0)</f>
        <v/>
      </c>
      <c r="F253" s="9">
        <f>IFERROR(IF(AND(B253&lt;&gt;"",G253="시급"),E253*24*INDEX('직원 마스터'!C$2:C$31,MATCH(1,('직원 마스터'!A$2:A$31=B253)*('직원 마스터'!F$2:F$31&lt;=(YEAR(A253)*100+MONTH(A253)))*(('직원 마스터'!G$2:G$31="")+('직원 마스터'!G$2:G$31&gt;=(YEAR(A253)*100+MONTH(A253)))),0)),0),0)</f>
        <v/>
      </c>
      <c r="G253" s="8">
        <f>IFERROR(IF(B253&lt;&gt;"",INDEX('직원 마스터'!B$2:B$31,MATCH(1,('직원 마스터'!A$2:A$31=B253)*('직원 마스터'!F$2:F$31&lt;=(YEAR(A253)*100+MONTH(A253)))*(('직원 마스터'!G$2:G$31="")+('직원 마스터'!G$2:G$31&gt;=(YEAR(A253)*100+MONTH(A253)))),0)),""),"")</f>
        <v/>
      </c>
      <c r="H253" s="2" t="n"/>
    </row>
    <row r="254">
      <c r="A254" s="5" t="n"/>
      <c r="B254" s="2" t="n"/>
      <c r="C254" s="6" t="n"/>
      <c r="D254" s="6" t="n"/>
      <c r="E254" s="7">
        <f>IF(AND(C254&lt;&gt;"",D254&lt;&gt;""),D254-C254,0)</f>
        <v/>
      </c>
      <c r="F254" s="9">
        <f>IFERROR(IF(AND(B254&lt;&gt;"",G254="시급"),E254*24*INDEX('직원 마스터'!C$2:C$31,MATCH(1,('직원 마스터'!A$2:A$31=B254)*('직원 마스터'!F$2:F$31&lt;=(YEAR(A254)*100+MONTH(A254)))*(('직원 마스터'!G$2:G$31="")+('직원 마스터'!G$2:G$31&gt;=(YEAR(A254)*100+MONTH(A254)))),0)),0),0)</f>
        <v/>
      </c>
      <c r="G254" s="8">
        <f>IFERROR(IF(B254&lt;&gt;"",INDEX('직원 마스터'!B$2:B$31,MATCH(1,('직원 마스터'!A$2:A$31=B254)*('직원 마스터'!F$2:F$31&lt;=(YEAR(A254)*100+MONTH(A254)))*(('직원 마스터'!G$2:G$31="")+('직원 마스터'!G$2:G$31&gt;=(YEAR(A254)*100+MONTH(A254)))),0)),""),"")</f>
        <v/>
      </c>
      <c r="H254" s="2" t="n"/>
    </row>
    <row r="255">
      <c r="A255" s="5" t="n"/>
      <c r="B255" s="2" t="n"/>
      <c r="C255" s="6" t="n"/>
      <c r="D255" s="6" t="n"/>
      <c r="E255" s="7">
        <f>IF(AND(C255&lt;&gt;"",D255&lt;&gt;""),D255-C255,0)</f>
        <v/>
      </c>
      <c r="F255" s="9">
        <f>IFERROR(IF(AND(B255&lt;&gt;"",G255="시급"),E255*24*INDEX('직원 마스터'!C$2:C$31,MATCH(1,('직원 마스터'!A$2:A$31=B255)*('직원 마스터'!F$2:F$31&lt;=(YEAR(A255)*100+MONTH(A255)))*(('직원 마스터'!G$2:G$31="")+('직원 마스터'!G$2:G$31&gt;=(YEAR(A255)*100+MONTH(A255)))),0)),0),0)</f>
        <v/>
      </c>
      <c r="G255" s="8">
        <f>IFERROR(IF(B255&lt;&gt;"",INDEX('직원 마스터'!B$2:B$31,MATCH(1,('직원 마스터'!A$2:A$31=B255)*('직원 마스터'!F$2:F$31&lt;=(YEAR(A255)*100+MONTH(A255)))*(('직원 마스터'!G$2:G$31="")+('직원 마스터'!G$2:G$31&gt;=(YEAR(A255)*100+MONTH(A255)))),0)),""),"")</f>
        <v/>
      </c>
      <c r="H255" s="2" t="n"/>
    </row>
    <row r="256">
      <c r="A256" s="5" t="n"/>
      <c r="B256" s="2" t="n"/>
      <c r="C256" s="6" t="n"/>
      <c r="D256" s="6" t="n"/>
      <c r="E256" s="7">
        <f>IF(AND(C256&lt;&gt;"",D256&lt;&gt;""),D256-C256,0)</f>
        <v/>
      </c>
      <c r="F256" s="9">
        <f>IFERROR(IF(AND(B256&lt;&gt;"",G256="시급"),E256*24*INDEX('직원 마스터'!C$2:C$31,MATCH(1,('직원 마스터'!A$2:A$31=B256)*('직원 마스터'!F$2:F$31&lt;=(YEAR(A256)*100+MONTH(A256)))*(('직원 마스터'!G$2:G$31="")+('직원 마스터'!G$2:G$31&gt;=(YEAR(A256)*100+MONTH(A256)))),0)),0),0)</f>
        <v/>
      </c>
      <c r="G256" s="8">
        <f>IFERROR(IF(B256&lt;&gt;"",INDEX('직원 마스터'!B$2:B$31,MATCH(1,('직원 마스터'!A$2:A$31=B256)*('직원 마스터'!F$2:F$31&lt;=(YEAR(A256)*100+MONTH(A256)))*(('직원 마스터'!G$2:G$31="")+('직원 마스터'!G$2:G$31&gt;=(YEAR(A256)*100+MONTH(A256)))),0)),""),"")</f>
        <v/>
      </c>
      <c r="H256" s="2" t="n"/>
    </row>
    <row r="257">
      <c r="A257" s="5" t="n"/>
      <c r="B257" s="2" t="n"/>
      <c r="C257" s="6" t="n"/>
      <c r="D257" s="6" t="n"/>
      <c r="E257" s="7">
        <f>IF(AND(C257&lt;&gt;"",D257&lt;&gt;""),D257-C257,0)</f>
        <v/>
      </c>
      <c r="F257" s="9">
        <f>IFERROR(IF(AND(B257&lt;&gt;"",G257="시급"),E257*24*INDEX('직원 마스터'!C$2:C$31,MATCH(1,('직원 마스터'!A$2:A$31=B257)*('직원 마스터'!F$2:F$31&lt;=(YEAR(A257)*100+MONTH(A257)))*(('직원 마스터'!G$2:G$31="")+('직원 마스터'!G$2:G$31&gt;=(YEAR(A257)*100+MONTH(A257)))),0)),0),0)</f>
        <v/>
      </c>
      <c r="G257" s="8">
        <f>IFERROR(IF(B257&lt;&gt;"",INDEX('직원 마스터'!B$2:B$31,MATCH(1,('직원 마스터'!A$2:A$31=B257)*('직원 마스터'!F$2:F$31&lt;=(YEAR(A257)*100+MONTH(A257)))*(('직원 마스터'!G$2:G$31="")+('직원 마스터'!G$2:G$31&gt;=(YEAR(A257)*100+MONTH(A257)))),0)),""),"")</f>
        <v/>
      </c>
      <c r="H257" s="2" t="n"/>
    </row>
    <row r="258">
      <c r="A258" s="5" t="n"/>
      <c r="B258" s="2" t="n"/>
      <c r="C258" s="6" t="n"/>
      <c r="D258" s="6" t="n"/>
      <c r="E258" s="7">
        <f>IF(AND(C258&lt;&gt;"",D258&lt;&gt;""),D258-C258,0)</f>
        <v/>
      </c>
      <c r="F258" s="9">
        <f>IFERROR(IF(AND(B258&lt;&gt;"",G258="시급"),E258*24*INDEX('직원 마스터'!C$2:C$31,MATCH(1,('직원 마스터'!A$2:A$31=B258)*('직원 마스터'!F$2:F$31&lt;=(YEAR(A258)*100+MONTH(A258)))*(('직원 마스터'!G$2:G$31="")+('직원 마스터'!G$2:G$31&gt;=(YEAR(A258)*100+MONTH(A258)))),0)),0),0)</f>
        <v/>
      </c>
      <c r="G258" s="8">
        <f>IFERROR(IF(B258&lt;&gt;"",INDEX('직원 마스터'!B$2:B$31,MATCH(1,('직원 마스터'!A$2:A$31=B258)*('직원 마스터'!F$2:F$31&lt;=(YEAR(A258)*100+MONTH(A258)))*(('직원 마스터'!G$2:G$31="")+('직원 마스터'!G$2:G$31&gt;=(YEAR(A258)*100+MONTH(A258)))),0)),""),"")</f>
        <v/>
      </c>
      <c r="H258" s="2" t="n"/>
    </row>
    <row r="259">
      <c r="A259" s="5" t="n"/>
      <c r="B259" s="2" t="n"/>
      <c r="C259" s="6" t="n"/>
      <c r="D259" s="6" t="n"/>
      <c r="E259" s="7">
        <f>IF(AND(C259&lt;&gt;"",D259&lt;&gt;""),D259-C259,0)</f>
        <v/>
      </c>
      <c r="F259" s="9">
        <f>IFERROR(IF(AND(B259&lt;&gt;"",G259="시급"),E259*24*INDEX('직원 마스터'!C$2:C$31,MATCH(1,('직원 마스터'!A$2:A$31=B259)*('직원 마스터'!F$2:F$31&lt;=(YEAR(A259)*100+MONTH(A259)))*(('직원 마스터'!G$2:G$31="")+('직원 마스터'!G$2:G$31&gt;=(YEAR(A259)*100+MONTH(A259)))),0)),0),0)</f>
        <v/>
      </c>
      <c r="G259" s="8">
        <f>IFERROR(IF(B259&lt;&gt;"",INDEX('직원 마스터'!B$2:B$31,MATCH(1,('직원 마스터'!A$2:A$31=B259)*('직원 마스터'!F$2:F$31&lt;=(YEAR(A259)*100+MONTH(A259)))*(('직원 마스터'!G$2:G$31="")+('직원 마스터'!G$2:G$31&gt;=(YEAR(A259)*100+MONTH(A259)))),0)),""),"")</f>
        <v/>
      </c>
      <c r="H259" s="2" t="n"/>
    </row>
    <row r="260">
      <c r="A260" s="5" t="n"/>
      <c r="B260" s="2" t="n"/>
      <c r="C260" s="6" t="n"/>
      <c r="D260" s="6" t="n"/>
      <c r="E260" s="7">
        <f>IF(AND(C260&lt;&gt;"",D260&lt;&gt;""),D260-C260,0)</f>
        <v/>
      </c>
      <c r="F260" s="9">
        <f>IFERROR(IF(AND(B260&lt;&gt;"",G260="시급"),E260*24*INDEX('직원 마스터'!C$2:C$31,MATCH(1,('직원 마스터'!A$2:A$31=B260)*('직원 마스터'!F$2:F$31&lt;=(YEAR(A260)*100+MONTH(A260)))*(('직원 마스터'!G$2:G$31="")+('직원 마스터'!G$2:G$31&gt;=(YEAR(A260)*100+MONTH(A260)))),0)),0),0)</f>
        <v/>
      </c>
      <c r="G260" s="8">
        <f>IFERROR(IF(B260&lt;&gt;"",INDEX('직원 마스터'!B$2:B$31,MATCH(1,('직원 마스터'!A$2:A$31=B260)*('직원 마스터'!F$2:F$31&lt;=(YEAR(A260)*100+MONTH(A260)))*(('직원 마스터'!G$2:G$31="")+('직원 마스터'!G$2:G$31&gt;=(YEAR(A260)*100+MONTH(A260)))),0)),""),"")</f>
        <v/>
      </c>
      <c r="H260" s="2" t="n"/>
    </row>
    <row r="261">
      <c r="A261" s="5" t="n"/>
      <c r="B261" s="2" t="n"/>
      <c r="C261" s="6" t="n"/>
      <c r="D261" s="6" t="n"/>
      <c r="E261" s="7">
        <f>IF(AND(C261&lt;&gt;"",D261&lt;&gt;""),D261-C261,0)</f>
        <v/>
      </c>
      <c r="F261" s="9">
        <f>IFERROR(IF(AND(B261&lt;&gt;"",G261="시급"),E261*24*INDEX('직원 마스터'!C$2:C$31,MATCH(1,('직원 마스터'!A$2:A$31=B261)*('직원 마스터'!F$2:F$31&lt;=(YEAR(A261)*100+MONTH(A261)))*(('직원 마스터'!G$2:G$31="")+('직원 마스터'!G$2:G$31&gt;=(YEAR(A261)*100+MONTH(A261)))),0)),0),0)</f>
        <v/>
      </c>
      <c r="G261" s="8">
        <f>IFERROR(IF(B261&lt;&gt;"",INDEX('직원 마스터'!B$2:B$31,MATCH(1,('직원 마스터'!A$2:A$31=B261)*('직원 마스터'!F$2:F$31&lt;=(YEAR(A261)*100+MONTH(A261)))*(('직원 마스터'!G$2:G$31="")+('직원 마스터'!G$2:G$31&gt;=(YEAR(A261)*100+MONTH(A261)))),0)),""),"")</f>
        <v/>
      </c>
      <c r="H261" s="2" t="n"/>
    </row>
    <row r="262">
      <c r="A262" s="5" t="n"/>
      <c r="B262" s="2" t="n"/>
      <c r="C262" s="6" t="n"/>
      <c r="D262" s="6" t="n"/>
      <c r="E262" s="7">
        <f>IF(AND(C262&lt;&gt;"",D262&lt;&gt;""),D262-C262,0)</f>
        <v/>
      </c>
      <c r="F262" s="9">
        <f>IFERROR(IF(AND(B262&lt;&gt;"",G262="시급"),E262*24*INDEX('직원 마스터'!C$2:C$31,MATCH(1,('직원 마스터'!A$2:A$31=B262)*('직원 마스터'!F$2:F$31&lt;=(YEAR(A262)*100+MONTH(A262)))*(('직원 마스터'!G$2:G$31="")+('직원 마스터'!G$2:G$31&gt;=(YEAR(A262)*100+MONTH(A262)))),0)),0),0)</f>
        <v/>
      </c>
      <c r="G262" s="8">
        <f>IFERROR(IF(B262&lt;&gt;"",INDEX('직원 마스터'!B$2:B$31,MATCH(1,('직원 마스터'!A$2:A$31=B262)*('직원 마스터'!F$2:F$31&lt;=(YEAR(A262)*100+MONTH(A262)))*(('직원 마스터'!G$2:G$31="")+('직원 마스터'!G$2:G$31&gt;=(YEAR(A262)*100+MONTH(A262)))),0)),""),"")</f>
        <v/>
      </c>
      <c r="H262" s="2" t="n"/>
    </row>
    <row r="263">
      <c r="A263" s="5" t="n"/>
      <c r="B263" s="2" t="n"/>
      <c r="C263" s="6" t="n"/>
      <c r="D263" s="6" t="n"/>
      <c r="E263" s="7">
        <f>IF(AND(C263&lt;&gt;"",D263&lt;&gt;""),D263-C263,0)</f>
        <v/>
      </c>
      <c r="F263" s="9">
        <f>IFERROR(IF(AND(B263&lt;&gt;"",G263="시급"),E263*24*INDEX('직원 마스터'!C$2:C$31,MATCH(1,('직원 마스터'!A$2:A$31=B263)*('직원 마스터'!F$2:F$31&lt;=(YEAR(A263)*100+MONTH(A263)))*(('직원 마스터'!G$2:G$31="")+('직원 마스터'!G$2:G$31&gt;=(YEAR(A263)*100+MONTH(A263)))),0)),0),0)</f>
        <v/>
      </c>
      <c r="G263" s="8">
        <f>IFERROR(IF(B263&lt;&gt;"",INDEX('직원 마스터'!B$2:B$31,MATCH(1,('직원 마스터'!A$2:A$31=B263)*('직원 마스터'!F$2:F$31&lt;=(YEAR(A263)*100+MONTH(A263)))*(('직원 마스터'!G$2:G$31="")+('직원 마스터'!G$2:G$31&gt;=(YEAR(A263)*100+MONTH(A263)))),0)),""),"")</f>
        <v/>
      </c>
      <c r="H263" s="2" t="n"/>
    </row>
    <row r="264">
      <c r="A264" s="5" t="n"/>
      <c r="B264" s="2" t="n"/>
      <c r="C264" s="6" t="n"/>
      <c r="D264" s="6" t="n"/>
      <c r="E264" s="7">
        <f>IF(AND(C264&lt;&gt;"",D264&lt;&gt;""),D264-C264,0)</f>
        <v/>
      </c>
      <c r="F264" s="9">
        <f>IFERROR(IF(AND(B264&lt;&gt;"",G264="시급"),E264*24*INDEX('직원 마스터'!C$2:C$31,MATCH(1,('직원 마스터'!A$2:A$31=B264)*('직원 마스터'!F$2:F$31&lt;=(YEAR(A264)*100+MONTH(A264)))*(('직원 마스터'!G$2:G$31="")+('직원 마스터'!G$2:G$31&gt;=(YEAR(A264)*100+MONTH(A264)))),0)),0),0)</f>
        <v/>
      </c>
      <c r="G264" s="8">
        <f>IFERROR(IF(B264&lt;&gt;"",INDEX('직원 마스터'!B$2:B$31,MATCH(1,('직원 마스터'!A$2:A$31=B264)*('직원 마스터'!F$2:F$31&lt;=(YEAR(A264)*100+MONTH(A264)))*(('직원 마스터'!G$2:G$31="")+('직원 마스터'!G$2:G$31&gt;=(YEAR(A264)*100+MONTH(A264)))),0)),""),"")</f>
        <v/>
      </c>
      <c r="H264" s="2" t="n"/>
    </row>
    <row r="265">
      <c r="A265" s="5" t="n"/>
      <c r="B265" s="2" t="n"/>
      <c r="C265" s="6" t="n"/>
      <c r="D265" s="6" t="n"/>
      <c r="E265" s="7">
        <f>IF(AND(C265&lt;&gt;"",D265&lt;&gt;""),D265-C265,0)</f>
        <v/>
      </c>
      <c r="F265" s="9">
        <f>IFERROR(IF(AND(B265&lt;&gt;"",G265="시급"),E265*24*INDEX('직원 마스터'!C$2:C$31,MATCH(1,('직원 마스터'!A$2:A$31=B265)*('직원 마스터'!F$2:F$31&lt;=(YEAR(A265)*100+MONTH(A265)))*(('직원 마스터'!G$2:G$31="")+('직원 마스터'!G$2:G$31&gt;=(YEAR(A265)*100+MONTH(A265)))),0)),0),0)</f>
        <v/>
      </c>
      <c r="G265" s="8">
        <f>IFERROR(IF(B265&lt;&gt;"",INDEX('직원 마스터'!B$2:B$31,MATCH(1,('직원 마스터'!A$2:A$31=B265)*('직원 마스터'!F$2:F$31&lt;=(YEAR(A265)*100+MONTH(A265)))*(('직원 마스터'!G$2:G$31="")+('직원 마스터'!G$2:G$31&gt;=(YEAR(A265)*100+MONTH(A265)))),0)),""),"")</f>
        <v/>
      </c>
      <c r="H265" s="2" t="n"/>
    </row>
    <row r="266">
      <c r="A266" s="5" t="n"/>
      <c r="B266" s="2" t="n"/>
      <c r="C266" s="6" t="n"/>
      <c r="D266" s="6" t="n"/>
      <c r="E266" s="7">
        <f>IF(AND(C266&lt;&gt;"",D266&lt;&gt;""),D266-C266,0)</f>
        <v/>
      </c>
      <c r="F266" s="9">
        <f>IFERROR(IF(AND(B266&lt;&gt;"",G266="시급"),E266*24*INDEX('직원 마스터'!C$2:C$31,MATCH(1,('직원 마스터'!A$2:A$31=B266)*('직원 마스터'!F$2:F$31&lt;=(YEAR(A266)*100+MONTH(A266)))*(('직원 마스터'!G$2:G$31="")+('직원 마스터'!G$2:G$31&gt;=(YEAR(A266)*100+MONTH(A266)))),0)),0),0)</f>
        <v/>
      </c>
      <c r="G266" s="8">
        <f>IFERROR(IF(B266&lt;&gt;"",INDEX('직원 마스터'!B$2:B$31,MATCH(1,('직원 마스터'!A$2:A$31=B266)*('직원 마스터'!F$2:F$31&lt;=(YEAR(A266)*100+MONTH(A266)))*(('직원 마스터'!G$2:G$31="")+('직원 마스터'!G$2:G$31&gt;=(YEAR(A266)*100+MONTH(A266)))),0)),""),"")</f>
        <v/>
      </c>
      <c r="H266" s="2" t="n"/>
    </row>
    <row r="267">
      <c r="A267" s="5" t="n"/>
      <c r="B267" s="2" t="n"/>
      <c r="C267" s="6" t="n"/>
      <c r="D267" s="6" t="n"/>
      <c r="E267" s="7">
        <f>IF(AND(C267&lt;&gt;"",D267&lt;&gt;""),D267-C267,0)</f>
        <v/>
      </c>
      <c r="F267" s="9">
        <f>IFERROR(IF(AND(B267&lt;&gt;"",G267="시급"),E267*24*INDEX('직원 마스터'!C$2:C$31,MATCH(1,('직원 마스터'!A$2:A$31=B267)*('직원 마스터'!F$2:F$31&lt;=(YEAR(A267)*100+MONTH(A267)))*(('직원 마스터'!G$2:G$31="")+('직원 마스터'!G$2:G$31&gt;=(YEAR(A267)*100+MONTH(A267)))),0)),0),0)</f>
        <v/>
      </c>
      <c r="G267" s="8">
        <f>IFERROR(IF(B267&lt;&gt;"",INDEX('직원 마스터'!B$2:B$31,MATCH(1,('직원 마스터'!A$2:A$31=B267)*('직원 마스터'!F$2:F$31&lt;=(YEAR(A267)*100+MONTH(A267)))*(('직원 마스터'!G$2:G$31="")+('직원 마스터'!G$2:G$31&gt;=(YEAR(A267)*100+MONTH(A267)))),0)),""),"")</f>
        <v/>
      </c>
      <c r="H267" s="2" t="n"/>
    </row>
    <row r="268">
      <c r="A268" s="5" t="n"/>
      <c r="B268" s="2" t="n"/>
      <c r="C268" s="6" t="n"/>
      <c r="D268" s="6" t="n"/>
      <c r="E268" s="7">
        <f>IF(AND(C268&lt;&gt;"",D268&lt;&gt;""),D268-C268,0)</f>
        <v/>
      </c>
      <c r="F268" s="9">
        <f>IFERROR(IF(AND(B268&lt;&gt;"",G268="시급"),E268*24*INDEX('직원 마스터'!C$2:C$31,MATCH(1,('직원 마스터'!A$2:A$31=B268)*('직원 마스터'!F$2:F$31&lt;=(YEAR(A268)*100+MONTH(A268)))*(('직원 마스터'!G$2:G$31="")+('직원 마스터'!G$2:G$31&gt;=(YEAR(A268)*100+MONTH(A268)))),0)),0),0)</f>
        <v/>
      </c>
      <c r="G268" s="8">
        <f>IFERROR(IF(B268&lt;&gt;"",INDEX('직원 마스터'!B$2:B$31,MATCH(1,('직원 마스터'!A$2:A$31=B268)*('직원 마스터'!F$2:F$31&lt;=(YEAR(A268)*100+MONTH(A268)))*(('직원 마스터'!G$2:G$31="")+('직원 마스터'!G$2:G$31&gt;=(YEAR(A268)*100+MONTH(A268)))),0)),""),"")</f>
        <v/>
      </c>
      <c r="H268" s="2" t="n"/>
    </row>
    <row r="269">
      <c r="A269" s="5" t="n"/>
      <c r="B269" s="2" t="n"/>
      <c r="C269" s="6" t="n"/>
      <c r="D269" s="6" t="n"/>
      <c r="E269" s="7">
        <f>IF(AND(C269&lt;&gt;"",D269&lt;&gt;""),D269-C269,0)</f>
        <v/>
      </c>
      <c r="F269" s="9">
        <f>IFERROR(IF(AND(B269&lt;&gt;"",G269="시급"),E269*24*INDEX('직원 마스터'!C$2:C$31,MATCH(1,('직원 마스터'!A$2:A$31=B269)*('직원 마스터'!F$2:F$31&lt;=(YEAR(A269)*100+MONTH(A269)))*(('직원 마스터'!G$2:G$31="")+('직원 마스터'!G$2:G$31&gt;=(YEAR(A269)*100+MONTH(A269)))),0)),0),0)</f>
        <v/>
      </c>
      <c r="G269" s="8">
        <f>IFERROR(IF(B269&lt;&gt;"",INDEX('직원 마스터'!B$2:B$31,MATCH(1,('직원 마스터'!A$2:A$31=B269)*('직원 마스터'!F$2:F$31&lt;=(YEAR(A269)*100+MONTH(A269)))*(('직원 마스터'!G$2:G$31="")+('직원 마스터'!G$2:G$31&gt;=(YEAR(A269)*100+MONTH(A269)))),0)),""),"")</f>
        <v/>
      </c>
      <c r="H269" s="2" t="n"/>
    </row>
    <row r="270">
      <c r="A270" s="5" t="n"/>
      <c r="B270" s="2" t="n"/>
      <c r="C270" s="6" t="n"/>
      <c r="D270" s="6" t="n"/>
      <c r="E270" s="7">
        <f>IF(AND(C270&lt;&gt;"",D270&lt;&gt;""),D270-C270,0)</f>
        <v/>
      </c>
      <c r="F270" s="9">
        <f>IFERROR(IF(AND(B270&lt;&gt;"",G270="시급"),E270*24*INDEX('직원 마스터'!C$2:C$31,MATCH(1,('직원 마스터'!A$2:A$31=B270)*('직원 마스터'!F$2:F$31&lt;=(YEAR(A270)*100+MONTH(A270)))*(('직원 마스터'!G$2:G$31="")+('직원 마스터'!G$2:G$31&gt;=(YEAR(A270)*100+MONTH(A270)))),0)),0),0)</f>
        <v/>
      </c>
      <c r="G270" s="8">
        <f>IFERROR(IF(B270&lt;&gt;"",INDEX('직원 마스터'!B$2:B$31,MATCH(1,('직원 마스터'!A$2:A$31=B270)*('직원 마스터'!F$2:F$31&lt;=(YEAR(A270)*100+MONTH(A270)))*(('직원 마스터'!G$2:G$31="")+('직원 마스터'!G$2:G$31&gt;=(YEAR(A270)*100+MONTH(A270)))),0)),""),"")</f>
        <v/>
      </c>
      <c r="H270" s="2" t="n"/>
    </row>
    <row r="271">
      <c r="A271" s="5" t="n"/>
      <c r="B271" s="2" t="n"/>
      <c r="C271" s="6" t="n"/>
      <c r="D271" s="6" t="n"/>
      <c r="E271" s="7">
        <f>IF(AND(C271&lt;&gt;"",D271&lt;&gt;""),D271-C271,0)</f>
        <v/>
      </c>
      <c r="F271" s="9">
        <f>IFERROR(IF(AND(B271&lt;&gt;"",G271="시급"),E271*24*INDEX('직원 마스터'!C$2:C$31,MATCH(1,('직원 마스터'!A$2:A$31=B271)*('직원 마스터'!F$2:F$31&lt;=(YEAR(A271)*100+MONTH(A271)))*(('직원 마스터'!G$2:G$31="")+('직원 마스터'!G$2:G$31&gt;=(YEAR(A271)*100+MONTH(A271)))),0)),0),0)</f>
        <v/>
      </c>
      <c r="G271" s="8">
        <f>IFERROR(IF(B271&lt;&gt;"",INDEX('직원 마스터'!B$2:B$31,MATCH(1,('직원 마스터'!A$2:A$31=B271)*('직원 마스터'!F$2:F$31&lt;=(YEAR(A271)*100+MONTH(A271)))*(('직원 마스터'!G$2:G$31="")+('직원 마스터'!G$2:G$31&gt;=(YEAR(A271)*100+MONTH(A271)))),0)),""),"")</f>
        <v/>
      </c>
      <c r="H271" s="2" t="n"/>
    </row>
    <row r="272">
      <c r="A272" s="5" t="n"/>
      <c r="B272" s="2" t="n"/>
      <c r="C272" s="6" t="n"/>
      <c r="D272" s="6" t="n"/>
      <c r="E272" s="7">
        <f>IF(AND(C272&lt;&gt;"",D272&lt;&gt;""),D272-C272,0)</f>
        <v/>
      </c>
      <c r="F272" s="9">
        <f>IFERROR(IF(AND(B272&lt;&gt;"",G272="시급"),E272*24*INDEX('직원 마스터'!C$2:C$31,MATCH(1,('직원 마스터'!A$2:A$31=B272)*('직원 마스터'!F$2:F$31&lt;=(YEAR(A272)*100+MONTH(A272)))*(('직원 마스터'!G$2:G$31="")+('직원 마스터'!G$2:G$31&gt;=(YEAR(A272)*100+MONTH(A272)))),0)),0),0)</f>
        <v/>
      </c>
      <c r="G272" s="8">
        <f>IFERROR(IF(B272&lt;&gt;"",INDEX('직원 마스터'!B$2:B$31,MATCH(1,('직원 마스터'!A$2:A$31=B272)*('직원 마스터'!F$2:F$31&lt;=(YEAR(A272)*100+MONTH(A272)))*(('직원 마스터'!G$2:G$31="")+('직원 마스터'!G$2:G$31&gt;=(YEAR(A272)*100+MONTH(A272)))),0)),""),"")</f>
        <v/>
      </c>
      <c r="H272" s="2" t="n"/>
    </row>
    <row r="273">
      <c r="A273" s="5" t="n"/>
      <c r="B273" s="2" t="n"/>
      <c r="C273" s="6" t="n"/>
      <c r="D273" s="6" t="n"/>
      <c r="E273" s="7">
        <f>IF(AND(C273&lt;&gt;"",D273&lt;&gt;""),D273-C273,0)</f>
        <v/>
      </c>
      <c r="F273" s="9">
        <f>IFERROR(IF(AND(B273&lt;&gt;"",G273="시급"),E273*24*INDEX('직원 마스터'!C$2:C$31,MATCH(1,('직원 마스터'!A$2:A$31=B273)*('직원 마스터'!F$2:F$31&lt;=(YEAR(A273)*100+MONTH(A273)))*(('직원 마스터'!G$2:G$31="")+('직원 마스터'!G$2:G$31&gt;=(YEAR(A273)*100+MONTH(A273)))),0)),0),0)</f>
        <v/>
      </c>
      <c r="G273" s="8">
        <f>IFERROR(IF(B273&lt;&gt;"",INDEX('직원 마스터'!B$2:B$31,MATCH(1,('직원 마스터'!A$2:A$31=B273)*('직원 마스터'!F$2:F$31&lt;=(YEAR(A273)*100+MONTH(A273)))*(('직원 마스터'!G$2:G$31="")+('직원 마스터'!G$2:G$31&gt;=(YEAR(A273)*100+MONTH(A273)))),0)),""),"")</f>
        <v/>
      </c>
      <c r="H273" s="2" t="n"/>
    </row>
    <row r="274">
      <c r="A274" s="5" t="n"/>
      <c r="B274" s="2" t="n"/>
      <c r="C274" s="6" t="n"/>
      <c r="D274" s="6" t="n"/>
      <c r="E274" s="7">
        <f>IF(AND(C274&lt;&gt;"",D274&lt;&gt;""),D274-C274,0)</f>
        <v/>
      </c>
      <c r="F274" s="9">
        <f>IFERROR(IF(AND(B274&lt;&gt;"",G274="시급"),E274*24*INDEX('직원 마스터'!C$2:C$31,MATCH(1,('직원 마스터'!A$2:A$31=B274)*('직원 마스터'!F$2:F$31&lt;=(YEAR(A274)*100+MONTH(A274)))*(('직원 마스터'!G$2:G$31="")+('직원 마스터'!G$2:G$31&gt;=(YEAR(A274)*100+MONTH(A274)))),0)),0),0)</f>
        <v/>
      </c>
      <c r="G274" s="8">
        <f>IFERROR(IF(B274&lt;&gt;"",INDEX('직원 마스터'!B$2:B$31,MATCH(1,('직원 마스터'!A$2:A$31=B274)*('직원 마스터'!F$2:F$31&lt;=(YEAR(A274)*100+MONTH(A274)))*(('직원 마스터'!G$2:G$31="")+('직원 마스터'!G$2:G$31&gt;=(YEAR(A274)*100+MONTH(A274)))),0)),""),"")</f>
        <v/>
      </c>
      <c r="H274" s="2" t="n"/>
    </row>
    <row r="275">
      <c r="A275" s="5" t="n"/>
      <c r="B275" s="2" t="n"/>
      <c r="C275" s="6" t="n"/>
      <c r="D275" s="6" t="n"/>
      <c r="E275" s="7">
        <f>IF(AND(C275&lt;&gt;"",D275&lt;&gt;""),D275-C275,0)</f>
        <v/>
      </c>
      <c r="F275" s="9">
        <f>IFERROR(IF(AND(B275&lt;&gt;"",G275="시급"),E275*24*INDEX('직원 마스터'!C$2:C$31,MATCH(1,('직원 마스터'!A$2:A$31=B275)*('직원 마스터'!F$2:F$31&lt;=(YEAR(A275)*100+MONTH(A275)))*(('직원 마스터'!G$2:G$31="")+('직원 마스터'!G$2:G$31&gt;=(YEAR(A275)*100+MONTH(A275)))),0)),0),0)</f>
        <v/>
      </c>
      <c r="G275" s="8">
        <f>IFERROR(IF(B275&lt;&gt;"",INDEX('직원 마스터'!B$2:B$31,MATCH(1,('직원 마스터'!A$2:A$31=B275)*('직원 마스터'!F$2:F$31&lt;=(YEAR(A275)*100+MONTH(A275)))*(('직원 마스터'!G$2:G$31="")+('직원 마스터'!G$2:G$31&gt;=(YEAR(A275)*100+MONTH(A275)))),0)),""),"")</f>
        <v/>
      </c>
      <c r="H275" s="2" t="n"/>
    </row>
    <row r="276">
      <c r="A276" s="5" t="n"/>
      <c r="B276" s="2" t="n"/>
      <c r="C276" s="6" t="n"/>
      <c r="D276" s="6" t="n"/>
      <c r="E276" s="7">
        <f>IF(AND(C276&lt;&gt;"",D276&lt;&gt;""),D276-C276,0)</f>
        <v/>
      </c>
      <c r="F276" s="9">
        <f>IFERROR(IF(AND(B276&lt;&gt;"",G276="시급"),E276*24*INDEX('직원 마스터'!C$2:C$31,MATCH(1,('직원 마스터'!A$2:A$31=B276)*('직원 마스터'!F$2:F$31&lt;=(YEAR(A276)*100+MONTH(A276)))*(('직원 마스터'!G$2:G$31="")+('직원 마스터'!G$2:G$31&gt;=(YEAR(A276)*100+MONTH(A276)))),0)),0),0)</f>
        <v/>
      </c>
      <c r="G276" s="8">
        <f>IFERROR(IF(B276&lt;&gt;"",INDEX('직원 마스터'!B$2:B$31,MATCH(1,('직원 마스터'!A$2:A$31=B276)*('직원 마스터'!F$2:F$31&lt;=(YEAR(A276)*100+MONTH(A276)))*(('직원 마스터'!G$2:G$31="")+('직원 마스터'!G$2:G$31&gt;=(YEAR(A276)*100+MONTH(A276)))),0)),""),"")</f>
        <v/>
      </c>
      <c r="H276" s="2" t="n"/>
    </row>
    <row r="277">
      <c r="A277" s="5" t="n"/>
      <c r="B277" s="2" t="n"/>
      <c r="C277" s="6" t="n"/>
      <c r="D277" s="6" t="n"/>
      <c r="E277" s="7">
        <f>IF(AND(C277&lt;&gt;"",D277&lt;&gt;""),D277-C277,0)</f>
        <v/>
      </c>
      <c r="F277" s="9">
        <f>IFERROR(IF(AND(B277&lt;&gt;"",G277="시급"),E277*24*INDEX('직원 마스터'!C$2:C$31,MATCH(1,('직원 마스터'!A$2:A$31=B277)*('직원 마스터'!F$2:F$31&lt;=(YEAR(A277)*100+MONTH(A277)))*(('직원 마스터'!G$2:G$31="")+('직원 마스터'!G$2:G$31&gt;=(YEAR(A277)*100+MONTH(A277)))),0)),0),0)</f>
        <v/>
      </c>
      <c r="G277" s="8">
        <f>IFERROR(IF(B277&lt;&gt;"",INDEX('직원 마스터'!B$2:B$31,MATCH(1,('직원 마스터'!A$2:A$31=B277)*('직원 마스터'!F$2:F$31&lt;=(YEAR(A277)*100+MONTH(A277)))*(('직원 마스터'!G$2:G$31="")+('직원 마스터'!G$2:G$31&gt;=(YEAR(A277)*100+MONTH(A277)))),0)),""),"")</f>
        <v/>
      </c>
      <c r="H277" s="2" t="n"/>
    </row>
    <row r="278">
      <c r="A278" s="5" t="n"/>
      <c r="B278" s="2" t="n"/>
      <c r="C278" s="6" t="n"/>
      <c r="D278" s="6" t="n"/>
      <c r="E278" s="7">
        <f>IF(AND(C278&lt;&gt;"",D278&lt;&gt;""),D278-C278,0)</f>
        <v/>
      </c>
      <c r="F278" s="9">
        <f>IFERROR(IF(AND(B278&lt;&gt;"",G278="시급"),E278*24*INDEX('직원 마스터'!C$2:C$31,MATCH(1,('직원 마스터'!A$2:A$31=B278)*('직원 마스터'!F$2:F$31&lt;=(YEAR(A278)*100+MONTH(A278)))*(('직원 마스터'!G$2:G$31="")+('직원 마스터'!G$2:G$31&gt;=(YEAR(A278)*100+MONTH(A278)))),0)),0),0)</f>
        <v/>
      </c>
      <c r="G278" s="8">
        <f>IFERROR(IF(B278&lt;&gt;"",INDEX('직원 마스터'!B$2:B$31,MATCH(1,('직원 마스터'!A$2:A$31=B278)*('직원 마스터'!F$2:F$31&lt;=(YEAR(A278)*100+MONTH(A278)))*(('직원 마스터'!G$2:G$31="")+('직원 마스터'!G$2:G$31&gt;=(YEAR(A278)*100+MONTH(A278)))),0)),""),"")</f>
        <v/>
      </c>
      <c r="H278" s="2" t="n"/>
    </row>
    <row r="279">
      <c r="A279" s="5" t="n"/>
      <c r="B279" s="2" t="n"/>
      <c r="C279" s="6" t="n"/>
      <c r="D279" s="6" t="n"/>
      <c r="E279" s="7">
        <f>IF(AND(C279&lt;&gt;"",D279&lt;&gt;""),D279-C279,0)</f>
        <v/>
      </c>
      <c r="F279" s="9">
        <f>IFERROR(IF(AND(B279&lt;&gt;"",G279="시급"),E279*24*INDEX('직원 마스터'!C$2:C$31,MATCH(1,('직원 마스터'!A$2:A$31=B279)*('직원 마스터'!F$2:F$31&lt;=(YEAR(A279)*100+MONTH(A279)))*(('직원 마스터'!G$2:G$31="")+('직원 마스터'!G$2:G$31&gt;=(YEAR(A279)*100+MONTH(A279)))),0)),0),0)</f>
        <v/>
      </c>
      <c r="G279" s="8">
        <f>IFERROR(IF(B279&lt;&gt;"",INDEX('직원 마스터'!B$2:B$31,MATCH(1,('직원 마스터'!A$2:A$31=B279)*('직원 마스터'!F$2:F$31&lt;=(YEAR(A279)*100+MONTH(A279)))*(('직원 마스터'!G$2:G$31="")+('직원 마스터'!G$2:G$31&gt;=(YEAR(A279)*100+MONTH(A279)))),0)),""),"")</f>
        <v/>
      </c>
      <c r="H279" s="2" t="n"/>
    </row>
    <row r="280">
      <c r="A280" s="5" t="n"/>
      <c r="B280" s="2" t="n"/>
      <c r="C280" s="6" t="n"/>
      <c r="D280" s="6" t="n"/>
      <c r="E280" s="7">
        <f>IF(AND(C280&lt;&gt;"",D280&lt;&gt;""),D280-C280,0)</f>
        <v/>
      </c>
      <c r="F280" s="9">
        <f>IFERROR(IF(AND(B280&lt;&gt;"",G280="시급"),E280*24*INDEX('직원 마스터'!C$2:C$31,MATCH(1,('직원 마스터'!A$2:A$31=B280)*('직원 마스터'!F$2:F$31&lt;=(YEAR(A280)*100+MONTH(A280)))*(('직원 마스터'!G$2:G$31="")+('직원 마스터'!G$2:G$31&gt;=(YEAR(A280)*100+MONTH(A280)))),0)),0),0)</f>
        <v/>
      </c>
      <c r="G280" s="8">
        <f>IFERROR(IF(B280&lt;&gt;"",INDEX('직원 마스터'!B$2:B$31,MATCH(1,('직원 마스터'!A$2:A$31=B280)*('직원 마스터'!F$2:F$31&lt;=(YEAR(A280)*100+MONTH(A280)))*(('직원 마스터'!G$2:G$31="")+('직원 마스터'!G$2:G$31&gt;=(YEAR(A280)*100+MONTH(A280)))),0)),""),"")</f>
        <v/>
      </c>
      <c r="H280" s="2" t="n"/>
    </row>
    <row r="281">
      <c r="A281" s="5" t="n"/>
      <c r="B281" s="2" t="n"/>
      <c r="C281" s="6" t="n"/>
      <c r="D281" s="6" t="n"/>
      <c r="E281" s="7">
        <f>IF(AND(C281&lt;&gt;"",D281&lt;&gt;""),D281-C281,0)</f>
        <v/>
      </c>
      <c r="F281" s="9">
        <f>IFERROR(IF(AND(B281&lt;&gt;"",G281="시급"),E281*24*INDEX('직원 마스터'!C$2:C$31,MATCH(1,('직원 마스터'!A$2:A$31=B281)*('직원 마스터'!F$2:F$31&lt;=(YEAR(A281)*100+MONTH(A281)))*(('직원 마스터'!G$2:G$31="")+('직원 마스터'!G$2:G$31&gt;=(YEAR(A281)*100+MONTH(A281)))),0)),0),0)</f>
        <v/>
      </c>
      <c r="G281" s="8">
        <f>IFERROR(IF(B281&lt;&gt;"",INDEX('직원 마스터'!B$2:B$31,MATCH(1,('직원 마스터'!A$2:A$31=B281)*('직원 마스터'!F$2:F$31&lt;=(YEAR(A281)*100+MONTH(A281)))*(('직원 마스터'!G$2:G$31="")+('직원 마스터'!G$2:G$31&gt;=(YEAR(A281)*100+MONTH(A281)))),0)),""),"")</f>
        <v/>
      </c>
      <c r="H281" s="2" t="n"/>
    </row>
    <row r="282">
      <c r="A282" s="5" t="n"/>
      <c r="B282" s="2" t="n"/>
      <c r="C282" s="6" t="n"/>
      <c r="D282" s="6" t="n"/>
      <c r="E282" s="7">
        <f>IF(AND(C282&lt;&gt;"",D282&lt;&gt;""),D282-C282,0)</f>
        <v/>
      </c>
      <c r="F282" s="9">
        <f>IFERROR(IF(AND(B282&lt;&gt;"",G282="시급"),E282*24*INDEX('직원 마스터'!C$2:C$31,MATCH(1,('직원 마스터'!A$2:A$31=B282)*('직원 마스터'!F$2:F$31&lt;=(YEAR(A282)*100+MONTH(A282)))*(('직원 마스터'!G$2:G$31="")+('직원 마스터'!G$2:G$31&gt;=(YEAR(A282)*100+MONTH(A282)))),0)),0),0)</f>
        <v/>
      </c>
      <c r="G282" s="8">
        <f>IFERROR(IF(B282&lt;&gt;"",INDEX('직원 마스터'!B$2:B$31,MATCH(1,('직원 마스터'!A$2:A$31=B282)*('직원 마스터'!F$2:F$31&lt;=(YEAR(A282)*100+MONTH(A282)))*(('직원 마스터'!G$2:G$31="")+('직원 마스터'!G$2:G$31&gt;=(YEAR(A282)*100+MONTH(A282)))),0)),""),"")</f>
        <v/>
      </c>
      <c r="H282" s="2" t="n"/>
    </row>
    <row r="283">
      <c r="A283" s="5" t="n"/>
      <c r="B283" s="2" t="n"/>
      <c r="C283" s="6" t="n"/>
      <c r="D283" s="6" t="n"/>
      <c r="E283" s="7">
        <f>IF(AND(C283&lt;&gt;"",D283&lt;&gt;""),D283-C283,0)</f>
        <v/>
      </c>
      <c r="F283" s="9">
        <f>IFERROR(IF(AND(B283&lt;&gt;"",G283="시급"),E283*24*INDEX('직원 마스터'!C$2:C$31,MATCH(1,('직원 마스터'!A$2:A$31=B283)*('직원 마스터'!F$2:F$31&lt;=(YEAR(A283)*100+MONTH(A283)))*(('직원 마스터'!G$2:G$31="")+('직원 마스터'!G$2:G$31&gt;=(YEAR(A283)*100+MONTH(A283)))),0)),0),0)</f>
        <v/>
      </c>
      <c r="G283" s="8">
        <f>IFERROR(IF(B283&lt;&gt;"",INDEX('직원 마스터'!B$2:B$31,MATCH(1,('직원 마스터'!A$2:A$31=B283)*('직원 마스터'!F$2:F$31&lt;=(YEAR(A283)*100+MONTH(A283)))*(('직원 마스터'!G$2:G$31="")+('직원 마스터'!G$2:G$31&gt;=(YEAR(A283)*100+MONTH(A283)))),0)),""),"")</f>
        <v/>
      </c>
      <c r="H283" s="2" t="n"/>
    </row>
    <row r="284">
      <c r="A284" s="5" t="n"/>
      <c r="B284" s="2" t="n"/>
      <c r="C284" s="6" t="n"/>
      <c r="D284" s="6" t="n"/>
      <c r="E284" s="7">
        <f>IF(AND(C284&lt;&gt;"",D284&lt;&gt;""),D284-C284,0)</f>
        <v/>
      </c>
      <c r="F284" s="9">
        <f>IFERROR(IF(AND(B284&lt;&gt;"",G284="시급"),E284*24*INDEX('직원 마스터'!C$2:C$31,MATCH(1,('직원 마스터'!A$2:A$31=B284)*('직원 마스터'!F$2:F$31&lt;=(YEAR(A284)*100+MONTH(A284)))*(('직원 마스터'!G$2:G$31="")+('직원 마스터'!G$2:G$31&gt;=(YEAR(A284)*100+MONTH(A284)))),0)),0),0)</f>
        <v/>
      </c>
      <c r="G284" s="8">
        <f>IFERROR(IF(B284&lt;&gt;"",INDEX('직원 마스터'!B$2:B$31,MATCH(1,('직원 마스터'!A$2:A$31=B284)*('직원 마스터'!F$2:F$31&lt;=(YEAR(A284)*100+MONTH(A284)))*(('직원 마스터'!G$2:G$31="")+('직원 마스터'!G$2:G$31&gt;=(YEAR(A284)*100+MONTH(A284)))),0)),""),"")</f>
        <v/>
      </c>
      <c r="H284" s="2" t="n"/>
    </row>
    <row r="285">
      <c r="A285" s="5" t="n"/>
      <c r="B285" s="2" t="n"/>
      <c r="C285" s="6" t="n"/>
      <c r="D285" s="6" t="n"/>
      <c r="E285" s="7">
        <f>IF(AND(C285&lt;&gt;"",D285&lt;&gt;""),D285-C285,0)</f>
        <v/>
      </c>
      <c r="F285" s="9">
        <f>IFERROR(IF(AND(B285&lt;&gt;"",G285="시급"),E285*24*INDEX('직원 마스터'!C$2:C$31,MATCH(1,('직원 마스터'!A$2:A$31=B285)*('직원 마스터'!F$2:F$31&lt;=(YEAR(A285)*100+MONTH(A285)))*(('직원 마스터'!G$2:G$31="")+('직원 마스터'!G$2:G$31&gt;=(YEAR(A285)*100+MONTH(A285)))),0)),0),0)</f>
        <v/>
      </c>
      <c r="G285" s="8">
        <f>IFERROR(IF(B285&lt;&gt;"",INDEX('직원 마스터'!B$2:B$31,MATCH(1,('직원 마스터'!A$2:A$31=B285)*('직원 마스터'!F$2:F$31&lt;=(YEAR(A285)*100+MONTH(A285)))*(('직원 마스터'!G$2:G$31="")+('직원 마스터'!G$2:G$31&gt;=(YEAR(A285)*100+MONTH(A285)))),0)),""),"")</f>
        <v/>
      </c>
      <c r="H285" s="2" t="n"/>
    </row>
    <row r="286">
      <c r="A286" s="5" t="n"/>
      <c r="B286" s="2" t="n"/>
      <c r="C286" s="6" t="n"/>
      <c r="D286" s="6" t="n"/>
      <c r="E286" s="7">
        <f>IF(AND(C286&lt;&gt;"",D286&lt;&gt;""),D286-C286,0)</f>
        <v/>
      </c>
      <c r="F286" s="9">
        <f>IFERROR(IF(AND(B286&lt;&gt;"",G286="시급"),E286*24*INDEX('직원 마스터'!C$2:C$31,MATCH(1,('직원 마스터'!A$2:A$31=B286)*('직원 마스터'!F$2:F$31&lt;=(YEAR(A286)*100+MONTH(A286)))*(('직원 마스터'!G$2:G$31="")+('직원 마스터'!G$2:G$31&gt;=(YEAR(A286)*100+MONTH(A286)))),0)),0),0)</f>
        <v/>
      </c>
      <c r="G286" s="8">
        <f>IFERROR(IF(B286&lt;&gt;"",INDEX('직원 마스터'!B$2:B$31,MATCH(1,('직원 마스터'!A$2:A$31=B286)*('직원 마스터'!F$2:F$31&lt;=(YEAR(A286)*100+MONTH(A286)))*(('직원 마스터'!G$2:G$31="")+('직원 마스터'!G$2:G$31&gt;=(YEAR(A286)*100+MONTH(A286)))),0)),""),"")</f>
        <v/>
      </c>
      <c r="H286" s="2" t="n"/>
    </row>
    <row r="287">
      <c r="A287" s="5" t="n"/>
      <c r="B287" s="2" t="n"/>
      <c r="C287" s="6" t="n"/>
      <c r="D287" s="6" t="n"/>
      <c r="E287" s="7">
        <f>IF(AND(C287&lt;&gt;"",D287&lt;&gt;""),D287-C287,0)</f>
        <v/>
      </c>
      <c r="F287" s="9">
        <f>IFERROR(IF(AND(B287&lt;&gt;"",G287="시급"),E287*24*INDEX('직원 마스터'!C$2:C$31,MATCH(1,('직원 마스터'!A$2:A$31=B287)*('직원 마스터'!F$2:F$31&lt;=(YEAR(A287)*100+MONTH(A287)))*(('직원 마스터'!G$2:G$31="")+('직원 마스터'!G$2:G$31&gt;=(YEAR(A287)*100+MONTH(A287)))),0)),0),0)</f>
        <v/>
      </c>
      <c r="G287" s="8">
        <f>IFERROR(IF(B287&lt;&gt;"",INDEX('직원 마스터'!B$2:B$31,MATCH(1,('직원 마스터'!A$2:A$31=B287)*('직원 마스터'!F$2:F$31&lt;=(YEAR(A287)*100+MONTH(A287)))*(('직원 마스터'!G$2:G$31="")+('직원 마스터'!G$2:G$31&gt;=(YEAR(A287)*100+MONTH(A287)))),0)),""),"")</f>
        <v/>
      </c>
      <c r="H287" s="2" t="n"/>
    </row>
    <row r="288">
      <c r="A288" s="5" t="n"/>
      <c r="B288" s="2" t="n"/>
      <c r="C288" s="6" t="n"/>
      <c r="D288" s="6" t="n"/>
      <c r="E288" s="7">
        <f>IF(AND(C288&lt;&gt;"",D288&lt;&gt;""),D288-C288,0)</f>
        <v/>
      </c>
      <c r="F288" s="9">
        <f>IFERROR(IF(AND(B288&lt;&gt;"",G288="시급"),E288*24*INDEX('직원 마스터'!C$2:C$31,MATCH(1,('직원 마스터'!A$2:A$31=B288)*('직원 마스터'!F$2:F$31&lt;=(YEAR(A288)*100+MONTH(A288)))*(('직원 마스터'!G$2:G$31="")+('직원 마스터'!G$2:G$31&gt;=(YEAR(A288)*100+MONTH(A288)))),0)),0),0)</f>
        <v/>
      </c>
      <c r="G288" s="8">
        <f>IFERROR(IF(B288&lt;&gt;"",INDEX('직원 마스터'!B$2:B$31,MATCH(1,('직원 마스터'!A$2:A$31=B288)*('직원 마스터'!F$2:F$31&lt;=(YEAR(A288)*100+MONTH(A288)))*(('직원 마스터'!G$2:G$31="")+('직원 마스터'!G$2:G$31&gt;=(YEAR(A288)*100+MONTH(A288)))),0)),""),"")</f>
        <v/>
      </c>
      <c r="H288" s="2" t="n"/>
    </row>
  </sheetData>
  <autoFilter ref="A1:H288"/>
  <dataValidations count="1">
    <dataValidation sqref="B2:B288" showDropDown="0" showInputMessage="0" showErrorMessage="0" allowBlank="1" type="list">
      <formula1>"고경민,고경민,고경민,장예원,유은비,전민아,전민아,전민아,김채현,이진화"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</cols>
  <sheetData>
    <row r="1" ht="25" customHeight="1">
      <c r="A1" s="1" t="inlineStr">
        <is>
          <t>이름</t>
        </is>
      </c>
      <c r="B1" s="1" t="inlineStr">
        <is>
          <t>월</t>
        </is>
      </c>
      <c r="C1" s="1" t="inlineStr">
        <is>
          <t>지급여부</t>
        </is>
      </c>
      <c r="D1" s="1" t="inlineStr">
        <is>
          <t>지급액</t>
        </is>
      </c>
    </row>
    <row r="2">
      <c r="A2" s="10" t="inlineStr">
        <is>
          <t>고경민</t>
        </is>
      </c>
      <c r="B2" s="11" t="n">
        <v>202501</v>
      </c>
      <c r="C2" s="10" t="inlineStr">
        <is>
          <t>O</t>
        </is>
      </c>
      <c r="D2" s="12" t="n">
        <v>1200000</v>
      </c>
    </row>
    <row r="3">
      <c r="A3" s="10" t="inlineStr">
        <is>
          <t>유은비</t>
        </is>
      </c>
      <c r="B3" s="11" t="n">
        <v>202501</v>
      </c>
      <c r="C3" s="10" t="inlineStr">
        <is>
          <t>O</t>
        </is>
      </c>
      <c r="D3" s="12" t="n">
        <v>528000</v>
      </c>
    </row>
    <row r="4">
      <c r="A4" s="10" t="inlineStr">
        <is>
          <t>장예원</t>
        </is>
      </c>
      <c r="B4" s="11" t="n">
        <v>202501</v>
      </c>
      <c r="C4" s="10" t="inlineStr">
        <is>
          <t>O</t>
        </is>
      </c>
      <c r="D4" s="12" t="n">
        <v>786000</v>
      </c>
    </row>
    <row r="5">
      <c r="A5" s="10" t="inlineStr">
        <is>
          <t>고경민</t>
        </is>
      </c>
      <c r="B5" s="11" t="n">
        <v>202502</v>
      </c>
      <c r="C5" s="10" t="inlineStr">
        <is>
          <t>O</t>
        </is>
      </c>
      <c r="D5" s="12" t="n">
        <v>1200000</v>
      </c>
    </row>
    <row r="6">
      <c r="A6" s="10" t="inlineStr">
        <is>
          <t>유은비</t>
        </is>
      </c>
      <c r="B6" s="11" t="n">
        <v>202502</v>
      </c>
      <c r="C6" s="10" t="inlineStr">
        <is>
          <t>O</t>
        </is>
      </c>
      <c r="D6" s="12" t="n">
        <v>240000</v>
      </c>
    </row>
    <row r="7">
      <c r="A7" s="10" t="inlineStr">
        <is>
          <t>장예원</t>
        </is>
      </c>
      <c r="B7" s="11" t="n">
        <v>202502</v>
      </c>
      <c r="C7" s="10" t="inlineStr">
        <is>
          <t>O</t>
        </is>
      </c>
      <c r="D7" s="12" t="n">
        <v>744000</v>
      </c>
    </row>
    <row r="8">
      <c r="A8" s="10" t="inlineStr">
        <is>
          <t>전민아</t>
        </is>
      </c>
      <c r="B8" s="11" t="n">
        <v>202502</v>
      </c>
      <c r="C8" s="10" t="inlineStr">
        <is>
          <t>O</t>
        </is>
      </c>
      <c r="D8" s="12" t="n">
        <v>600000</v>
      </c>
    </row>
    <row r="9">
      <c r="A9" s="10" t="inlineStr">
        <is>
          <t>고경민</t>
        </is>
      </c>
      <c r="B9" s="11" t="n">
        <v>202503</v>
      </c>
      <c r="C9" s="10" t="inlineStr">
        <is>
          <t>O</t>
        </is>
      </c>
      <c r="D9" s="12" t="n">
        <v>912000</v>
      </c>
    </row>
    <row r="10">
      <c r="A10" s="10" t="inlineStr">
        <is>
          <t>유은비</t>
        </is>
      </c>
      <c r="B10" s="11" t="n">
        <v>202503</v>
      </c>
      <c r="C10" s="10" t="inlineStr">
        <is>
          <t>O</t>
        </is>
      </c>
      <c r="D10" s="12" t="n">
        <v>240000</v>
      </c>
    </row>
    <row r="11">
      <c r="A11" s="10" t="inlineStr">
        <is>
          <t>장예원</t>
        </is>
      </c>
      <c r="B11" s="11" t="n">
        <v>202503</v>
      </c>
      <c r="C11" s="10" t="inlineStr">
        <is>
          <t>O</t>
        </is>
      </c>
      <c r="D11" s="12" t="n">
        <v>768000</v>
      </c>
    </row>
    <row r="12">
      <c r="A12" s="10" t="inlineStr">
        <is>
          <t>전민아</t>
        </is>
      </c>
      <c r="B12" s="11" t="n">
        <v>202503</v>
      </c>
      <c r="C12" s="10" t="inlineStr">
        <is>
          <t>O</t>
        </is>
      </c>
      <c r="D12" s="12" t="n">
        <v>1800000</v>
      </c>
    </row>
    <row r="13">
      <c r="A13" s="10" t="inlineStr">
        <is>
          <t>고경민</t>
        </is>
      </c>
      <c r="B13" s="11" t="n">
        <v>202504</v>
      </c>
      <c r="C13" s="10" t="inlineStr">
        <is>
          <t>O</t>
        </is>
      </c>
      <c r="D13" s="12" t="n">
        <v>792000</v>
      </c>
    </row>
    <row r="14">
      <c r="A14" s="10" t="inlineStr">
        <is>
          <t>장예원</t>
        </is>
      </c>
      <c r="B14" s="11" t="n">
        <v>202504</v>
      </c>
      <c r="C14" s="10" t="inlineStr">
        <is>
          <t>O</t>
        </is>
      </c>
      <c r="D14" s="12" t="n">
        <v>708000</v>
      </c>
    </row>
    <row r="15">
      <c r="A15" s="10" t="inlineStr">
        <is>
          <t>전민아</t>
        </is>
      </c>
      <c r="B15" s="11" t="n">
        <v>202504</v>
      </c>
      <c r="C15" s="10" t="inlineStr">
        <is>
          <t>O</t>
        </is>
      </c>
      <c r="D15" s="12" t="n">
        <v>1800000</v>
      </c>
    </row>
    <row r="16">
      <c r="A16" s="10" t="inlineStr">
        <is>
          <t>고경민</t>
        </is>
      </c>
      <c r="B16" s="11" t="n">
        <v>202505</v>
      </c>
      <c r="C16" s="10" t="inlineStr">
        <is>
          <t>O</t>
        </is>
      </c>
      <c r="D16" s="12" t="n">
        <v>1008000</v>
      </c>
    </row>
    <row r="17">
      <c r="A17" s="10" t="inlineStr">
        <is>
          <t>장예원</t>
        </is>
      </c>
      <c r="B17" s="11" t="n">
        <v>202505</v>
      </c>
      <c r="C17" s="10" t="inlineStr">
        <is>
          <t>O</t>
        </is>
      </c>
      <c r="D17" s="12" t="n">
        <v>516000</v>
      </c>
    </row>
    <row r="18">
      <c r="A18" s="10" t="inlineStr">
        <is>
          <t>전민아</t>
        </is>
      </c>
      <c r="B18" s="11" t="n">
        <v>202505</v>
      </c>
      <c r="C18" s="10" t="inlineStr">
        <is>
          <t>O</t>
        </is>
      </c>
      <c r="D18" s="12" t="n">
        <v>1800000</v>
      </c>
    </row>
    <row r="19">
      <c r="A19" s="10" t="inlineStr">
        <is>
          <t>고경민</t>
        </is>
      </c>
      <c r="B19" s="11" t="n">
        <v>202506</v>
      </c>
      <c r="C19" s="10" t="inlineStr">
        <is>
          <t>O</t>
        </is>
      </c>
      <c r="D19" s="12" t="n">
        <v>600000</v>
      </c>
    </row>
    <row r="20">
      <c r="A20" s="10" t="inlineStr">
        <is>
          <t>김채현</t>
        </is>
      </c>
      <c r="B20" s="11" t="n">
        <v>202506</v>
      </c>
      <c r="C20" s="10" t="inlineStr">
        <is>
          <t>O</t>
        </is>
      </c>
      <c r="D20" s="12" t="n">
        <v>120000</v>
      </c>
    </row>
    <row r="21">
      <c r="A21" s="10" t="inlineStr">
        <is>
          <t>장예원</t>
        </is>
      </c>
      <c r="B21" s="11" t="n">
        <v>202506</v>
      </c>
      <c r="C21" s="10" t="inlineStr">
        <is>
          <t>O</t>
        </is>
      </c>
      <c r="D21" s="12" t="n">
        <v>792000</v>
      </c>
    </row>
    <row r="22">
      <c r="A22" s="10" t="inlineStr">
        <is>
          <t>전민아</t>
        </is>
      </c>
      <c r="B22" s="11" t="n">
        <v>202506</v>
      </c>
      <c r="C22" s="10" t="inlineStr">
        <is>
          <t>O</t>
        </is>
      </c>
      <c r="D22" s="12" t="n">
        <v>1800000</v>
      </c>
    </row>
    <row r="23">
      <c r="A23" s="10" t="inlineStr">
        <is>
          <t>고경민</t>
        </is>
      </c>
      <c r="B23" s="11" t="n">
        <v>202507</v>
      </c>
      <c r="C23" s="10" t="inlineStr">
        <is>
          <t>O</t>
        </is>
      </c>
      <c r="D23" s="12" t="n">
        <v>672000</v>
      </c>
    </row>
    <row r="24">
      <c r="A24" s="10" t="inlineStr">
        <is>
          <t>김채현</t>
        </is>
      </c>
      <c r="B24" s="11" t="n">
        <v>202507</v>
      </c>
      <c r="C24" s="10" t="inlineStr">
        <is>
          <t>O</t>
        </is>
      </c>
      <c r="D24" s="12" t="n">
        <v>660000</v>
      </c>
    </row>
    <row r="25">
      <c r="A25" s="10" t="inlineStr">
        <is>
          <t>장예원</t>
        </is>
      </c>
      <c r="B25" s="11" t="n">
        <v>202507</v>
      </c>
      <c r="C25" s="10" t="inlineStr">
        <is>
          <t>O</t>
        </is>
      </c>
      <c r="D25" s="12" t="n">
        <v>624000</v>
      </c>
    </row>
    <row r="26">
      <c r="A26" s="10" t="inlineStr">
        <is>
          <t>전민아</t>
        </is>
      </c>
      <c r="B26" s="11" t="n">
        <v>202507</v>
      </c>
      <c r="C26" s="10" t="inlineStr">
        <is>
          <t>O</t>
        </is>
      </c>
      <c r="D26" s="12" t="n">
        <v>1800000</v>
      </c>
    </row>
    <row r="27">
      <c r="A27" s="10" t="inlineStr">
        <is>
          <t>고경민</t>
        </is>
      </c>
      <c r="B27" s="11" t="n">
        <v>202508</v>
      </c>
      <c r="C27" s="10" t="inlineStr">
        <is>
          <t>O</t>
        </is>
      </c>
      <c r="D27" s="12" t="n">
        <v>792000</v>
      </c>
    </row>
    <row r="28">
      <c r="A28" s="10" t="inlineStr">
        <is>
          <t>김채현</t>
        </is>
      </c>
      <c r="B28" s="11" t="n">
        <v>202508</v>
      </c>
      <c r="C28" s="10" t="inlineStr">
        <is>
          <t>O</t>
        </is>
      </c>
      <c r="D28" s="12" t="n">
        <v>648000</v>
      </c>
    </row>
    <row r="29">
      <c r="A29" s="10" t="inlineStr">
        <is>
          <t>전민아</t>
        </is>
      </c>
      <c r="B29" s="11" t="n">
        <v>202508</v>
      </c>
      <c r="C29" s="10" t="inlineStr">
        <is>
          <t>O</t>
        </is>
      </c>
      <c r="D29" s="12" t="n">
        <v>1774000</v>
      </c>
    </row>
    <row r="30">
      <c r="A30" s="10" t="inlineStr">
        <is>
          <t>고경민</t>
        </is>
      </c>
      <c r="B30" s="11" t="n">
        <v>202509</v>
      </c>
      <c r="C30" s="10" t="inlineStr">
        <is>
          <t>O</t>
        </is>
      </c>
      <c r="D30" s="12" t="n">
        <v>588000</v>
      </c>
    </row>
    <row r="31">
      <c r="A31" s="10" t="inlineStr">
        <is>
          <t>김채현</t>
        </is>
      </c>
      <c r="B31" s="11" t="n">
        <v>202509</v>
      </c>
      <c r="C31" s="10" t="inlineStr">
        <is>
          <t>O</t>
        </is>
      </c>
      <c r="D31" s="12" t="n">
        <v>534000</v>
      </c>
    </row>
    <row r="32">
      <c r="A32" s="10" t="inlineStr">
        <is>
          <t>전민아</t>
        </is>
      </c>
      <c r="B32" s="11" t="n">
        <v>202509</v>
      </c>
      <c r="C32" s="10" t="inlineStr">
        <is>
          <t>O</t>
        </is>
      </c>
      <c r="D32" s="12" t="n">
        <v>1800000</v>
      </c>
    </row>
    <row r="33">
      <c r="A33" s="10" t="inlineStr">
        <is>
          <t>고경민</t>
        </is>
      </c>
      <c r="B33" s="11" t="n">
        <v>202510</v>
      </c>
      <c r="C33" s="10" t="inlineStr">
        <is>
          <t>O</t>
        </is>
      </c>
      <c r="D33" s="12" t="n">
        <v>1300000</v>
      </c>
    </row>
    <row r="34">
      <c r="A34" s="10" t="inlineStr">
        <is>
          <t>김채현</t>
        </is>
      </c>
      <c r="B34" s="11" t="n">
        <v>202510</v>
      </c>
      <c r="C34" s="10" t="inlineStr">
        <is>
          <t>O</t>
        </is>
      </c>
      <c r="D34" s="12" t="n">
        <v>438000</v>
      </c>
    </row>
    <row r="35">
      <c r="A35" s="10" t="inlineStr">
        <is>
          <t>이진화</t>
        </is>
      </c>
      <c r="B35" s="11" t="n">
        <v>202510</v>
      </c>
      <c r="C35" s="10" t="inlineStr">
        <is>
          <t>O</t>
        </is>
      </c>
      <c r="D35" s="12" t="n">
        <v>480000</v>
      </c>
    </row>
    <row r="36">
      <c r="A36" s="10" t="inlineStr">
        <is>
          <t>전민아</t>
        </is>
      </c>
      <c r="B36" s="11" t="n">
        <v>202510</v>
      </c>
      <c r="C36" s="10" t="inlineStr">
        <is>
          <t>O</t>
        </is>
      </c>
      <c r="D36" s="12" t="n">
        <v>1848000</v>
      </c>
    </row>
    <row r="37">
      <c r="A37" s="10" t="inlineStr">
        <is>
          <t>고경민</t>
        </is>
      </c>
      <c r="B37" s="11" t="n">
        <v>202511</v>
      </c>
      <c r="C37" s="10" t="inlineStr">
        <is>
          <t>O</t>
        </is>
      </c>
      <c r="D37" s="12" t="n">
        <v>1300000</v>
      </c>
    </row>
    <row r="38">
      <c r="A38" s="10" t="inlineStr">
        <is>
          <t>이진화</t>
        </is>
      </c>
      <c r="B38" s="11" t="n">
        <v>202511</v>
      </c>
      <c r="C38" s="10" t="inlineStr">
        <is>
          <t>O</t>
        </is>
      </c>
      <c r="D38" s="12" t="n">
        <v>480000</v>
      </c>
    </row>
    <row r="39">
      <c r="A39" s="10" t="inlineStr">
        <is>
          <t>전민아</t>
        </is>
      </c>
      <c r="B39" s="11" t="n">
        <v>202511</v>
      </c>
      <c r="C39" s="10" t="inlineStr">
        <is>
          <t>O</t>
        </is>
      </c>
      <c r="D39" s="12" t="n">
        <v>1848000</v>
      </c>
    </row>
    <row r="40">
      <c r="A40" s="10" t="inlineStr">
        <is>
          <t>고경민</t>
        </is>
      </c>
      <c r="B40" s="11" t="n">
        <v>202512</v>
      </c>
      <c r="C40" s="10" t="inlineStr">
        <is>
          <t>O</t>
        </is>
      </c>
      <c r="D40" s="12" t="n">
        <v>1300000</v>
      </c>
    </row>
    <row r="41">
      <c r="A41" s="10" t="inlineStr">
        <is>
          <t>이진화</t>
        </is>
      </c>
      <c r="B41" s="11" t="n">
        <v>202512</v>
      </c>
      <c r="C41" s="10" t="inlineStr">
        <is>
          <t>O</t>
        </is>
      </c>
      <c r="D41" s="12" t="n">
        <v>348000</v>
      </c>
    </row>
    <row r="42">
      <c r="A42" s="10" t="inlineStr">
        <is>
          <t>전민아</t>
        </is>
      </c>
      <c r="B42" s="11" t="n">
        <v>202512</v>
      </c>
      <c r="C42" s="10" t="inlineStr">
        <is>
          <t>O</t>
        </is>
      </c>
      <c r="D42" s="12" t="n">
        <v>1848000</v>
      </c>
    </row>
  </sheetData>
  <autoFilter ref="A1:D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4" customWidth="1" min="4" max="4"/>
    <col width="16" customWidth="1" min="5" max="5"/>
    <col width="16" customWidth="1" min="6" max="6"/>
    <col width="14" customWidth="1" min="7" max="7"/>
    <col width="28" customWidth="1" min="8" max="8"/>
    <col width="12" customWidth="1" min="9" max="9"/>
    <col hidden="1" width="14" customWidth="1" min="10" max="10"/>
  </cols>
  <sheetData>
    <row r="1">
      <c r="B1" s="13" t="n">
        <v>202502</v>
      </c>
      <c r="C1" s="14" t="inlineStr">
        <is>
          <t>← 월 선택</t>
        </is>
      </c>
      <c r="J1" s="15">
        <f>DATE(INT(B1/100),MOD(B1,100),1)</f>
        <v/>
      </c>
    </row>
    <row r="2">
      <c r="J2" s="15">
        <f>EOMONTH(J1,0)</f>
        <v/>
      </c>
    </row>
    <row r="3" ht="25" customHeight="1">
      <c r="A3" s="1" t="n"/>
      <c r="B3" s="1" t="inlineStr">
        <is>
          <t>이름</t>
        </is>
      </c>
      <c r="C3" s="1" t="inlineStr">
        <is>
          <t>급여유형</t>
        </is>
      </c>
      <c r="D3" s="1" t="inlineStr">
        <is>
          <t>총 근무시간</t>
        </is>
      </c>
      <c r="E3" s="1" t="inlineStr">
        <is>
          <t>총 급여(세전)</t>
        </is>
      </c>
      <c r="F3" s="1" t="inlineStr">
        <is>
          <t>3.3% 원천징수</t>
        </is>
      </c>
      <c r="G3" s="1" t="inlineStr">
        <is>
          <t>실지급액</t>
        </is>
      </c>
      <c r="H3" s="1" t="inlineStr">
        <is>
          <t>입금계좌</t>
        </is>
      </c>
      <c r="I3" s="1" t="inlineStr">
        <is>
          <t>지급여부</t>
        </is>
      </c>
    </row>
    <row r="4">
      <c r="B4" s="2">
        <f>IF(AND('직원 마스터'!F2&lt;&gt;"",'직원 마스터'!F2&lt;=$B$1,OR('직원 마스터'!G2="",'직원 마스터'!G2&gt;=$B$1)),'직원 마스터'!A2,"")</f>
        <v/>
      </c>
      <c r="C4" s="2">
        <f>IF(AND('직원 마스터'!F2&lt;&gt;"",'직원 마스터'!F2&lt;=$B$1,OR('직원 마스터'!G2="",'직원 마스터'!G2&gt;=$B$1)),'직원 마스터'!B2,"")</f>
        <v/>
      </c>
      <c r="D4" s="7">
        <f>IF(AND('직원 마스터'!F2&lt;&gt;"",'직원 마스터'!F2&lt;=$B$1,OR('직원 마스터'!G2="",'직원 마스터'!G2&gt;=$B$1)),SUMPRODUCT(('근무 기록'!B$2:B$500='직원 마스터'!A2)*('근무 기록'!A$2:A$500&gt;=J$1)*('근무 기록'!A$2:A$500&lt;=J$2)*('근무 기록'!E$2:E$500))*24,"")</f>
        <v/>
      </c>
      <c r="E4" s="9">
        <f>IF(B4="","",IFERROR(INDEX('지급 이력'!D$2:D$92,MATCH(1,('지급 이력'!A$2:A$92=B4)*('지급 이력'!B$2:B$92=$B$1),0)),IF(C4="월급",'직원 마스터'!C2,SUMPRODUCT(('근무 기록'!B$2:B$500='직원 마스터'!A2)*('근무 기록'!A$2:A$500&gt;=J$1)*('근무 기록'!A$2:A$500&lt;=J$2)*('근무 기록'!F$2:F$500)))))</f>
        <v/>
      </c>
      <c r="F4" s="9">
        <f>IF(E4="","",ROUND(E4*0.033,0))</f>
        <v/>
      </c>
      <c r="G4" s="9">
        <f>IF(E4="","",E4-F4)</f>
        <v/>
      </c>
      <c r="H4" s="2">
        <f>IF(B4="","",'직원 마스터'!D2)</f>
        <v/>
      </c>
      <c r="I4" s="16">
        <f>IF(B4="","",IFERROR(INDEX('지급 이력'!C$2:C$92,MATCH(1,('지급 이력'!A$2:A$92=B4)*('지급 이력'!B$2:B$92=$B$1),0)),"X"))</f>
        <v/>
      </c>
    </row>
    <row r="5">
      <c r="B5" s="2">
        <f>IF(AND('직원 마스터'!F3&lt;&gt;"",'직원 마스터'!F3&lt;=$B$1,OR('직원 마스터'!G3="",'직원 마스터'!G3&gt;=$B$1)),'직원 마스터'!A3,"")</f>
        <v/>
      </c>
      <c r="C5" s="2">
        <f>IF(AND('직원 마스터'!F3&lt;&gt;"",'직원 마스터'!F3&lt;=$B$1,OR('직원 마스터'!G3="",'직원 마스터'!G3&gt;=$B$1)),'직원 마스터'!B3,"")</f>
        <v/>
      </c>
      <c r="D5" s="7">
        <f>IF(AND('직원 마스터'!F3&lt;&gt;"",'직원 마스터'!F3&lt;=$B$1,OR('직원 마스터'!G3="",'직원 마스터'!G3&gt;=$B$1)),SUMPRODUCT(('근무 기록'!B$2:B$500='직원 마스터'!A3)*('근무 기록'!A$2:A$500&gt;=J$1)*('근무 기록'!A$2:A$500&lt;=J$2)*('근무 기록'!E$2:E$500))*24,"")</f>
        <v/>
      </c>
      <c r="E5" s="9">
        <f>IF(B5="","",IFERROR(INDEX('지급 이력'!D$2:D$92,MATCH(1,('지급 이력'!A$2:A$92=B5)*('지급 이력'!B$2:B$92=$B$1),0)),IF(C5="월급",'직원 마스터'!C3,SUMPRODUCT(('근무 기록'!B$2:B$500='직원 마스터'!A3)*('근무 기록'!A$2:A$500&gt;=J$1)*('근무 기록'!A$2:A$500&lt;=J$2)*('근무 기록'!F$2:F$500)))))</f>
        <v/>
      </c>
      <c r="F5" s="9">
        <f>IF(E5="","",ROUND(E5*0.033,0))</f>
        <v/>
      </c>
      <c r="G5" s="9">
        <f>IF(E5="","",E5-F5)</f>
        <v/>
      </c>
      <c r="H5" s="2">
        <f>IF(B5="","",'직원 마스터'!D3)</f>
        <v/>
      </c>
      <c r="I5" s="16">
        <f>IF(B5="","",IFERROR(INDEX('지급 이력'!C$2:C$92,MATCH(1,('지급 이력'!A$2:A$92=B5)*('지급 이력'!B$2:B$92=$B$1),0)),"X"))</f>
        <v/>
      </c>
    </row>
    <row r="6">
      <c r="B6" s="2">
        <f>IF(AND('직원 마스터'!F4&lt;&gt;"",'직원 마스터'!F4&lt;=$B$1,OR('직원 마스터'!G4="",'직원 마스터'!G4&gt;=$B$1)),'직원 마스터'!A4,"")</f>
        <v/>
      </c>
      <c r="C6" s="2">
        <f>IF(AND('직원 마스터'!F4&lt;&gt;"",'직원 마스터'!F4&lt;=$B$1,OR('직원 마스터'!G4="",'직원 마스터'!G4&gt;=$B$1)),'직원 마스터'!B4,"")</f>
        <v/>
      </c>
      <c r="D6" s="7">
        <f>IF(AND('직원 마스터'!F4&lt;&gt;"",'직원 마스터'!F4&lt;=$B$1,OR('직원 마스터'!G4="",'직원 마스터'!G4&gt;=$B$1)),SUMPRODUCT(('근무 기록'!B$2:B$500='직원 마스터'!A4)*('근무 기록'!A$2:A$500&gt;=J$1)*('근무 기록'!A$2:A$500&lt;=J$2)*('근무 기록'!E$2:E$500))*24,"")</f>
        <v/>
      </c>
      <c r="E6" s="9">
        <f>IF(B6="","",IFERROR(INDEX('지급 이력'!D$2:D$92,MATCH(1,('지급 이력'!A$2:A$92=B6)*('지급 이력'!B$2:B$92=$B$1),0)),IF(C6="월급",'직원 마스터'!C4,SUMPRODUCT(('근무 기록'!B$2:B$500='직원 마스터'!A4)*('근무 기록'!A$2:A$500&gt;=J$1)*('근무 기록'!A$2:A$500&lt;=J$2)*('근무 기록'!F$2:F$500)))))</f>
        <v/>
      </c>
      <c r="F6" s="9">
        <f>IF(E6="","",ROUND(E6*0.033,0))</f>
        <v/>
      </c>
      <c r="G6" s="9">
        <f>IF(E6="","",E6-F6)</f>
        <v/>
      </c>
      <c r="H6" s="2">
        <f>IF(B6="","",'직원 마스터'!D4)</f>
        <v/>
      </c>
      <c r="I6" s="16">
        <f>IF(B6="","",IFERROR(INDEX('지급 이력'!C$2:C$92,MATCH(1,('지급 이력'!A$2:A$92=B6)*('지급 이력'!B$2:B$92=$B$1),0)),"X"))</f>
        <v/>
      </c>
    </row>
    <row r="7">
      <c r="B7" s="2">
        <f>IF(AND('직원 마스터'!F5&lt;&gt;"",'직원 마스터'!F5&lt;=$B$1,OR('직원 마스터'!G5="",'직원 마스터'!G5&gt;=$B$1)),'직원 마스터'!A5,"")</f>
        <v/>
      </c>
      <c r="C7" s="2">
        <f>IF(AND('직원 마스터'!F5&lt;&gt;"",'직원 마스터'!F5&lt;=$B$1,OR('직원 마스터'!G5="",'직원 마스터'!G5&gt;=$B$1)),'직원 마스터'!B5,"")</f>
        <v/>
      </c>
      <c r="D7" s="7">
        <f>IF(AND('직원 마스터'!F5&lt;&gt;"",'직원 마스터'!F5&lt;=$B$1,OR('직원 마스터'!G5="",'직원 마스터'!G5&gt;=$B$1)),SUMPRODUCT(('근무 기록'!B$2:B$500='직원 마스터'!A5)*('근무 기록'!A$2:A$500&gt;=J$1)*('근무 기록'!A$2:A$500&lt;=J$2)*('근무 기록'!E$2:E$500))*24,"")</f>
        <v/>
      </c>
      <c r="E7" s="9">
        <f>IF(B7="","",IFERROR(INDEX('지급 이력'!D$2:D$92,MATCH(1,('지급 이력'!A$2:A$92=B7)*('지급 이력'!B$2:B$92=$B$1),0)),IF(C7="월급",'직원 마스터'!C5,SUMPRODUCT(('근무 기록'!B$2:B$500='직원 마스터'!A5)*('근무 기록'!A$2:A$500&gt;=J$1)*('근무 기록'!A$2:A$500&lt;=J$2)*('근무 기록'!F$2:F$500)))))</f>
        <v/>
      </c>
      <c r="F7" s="9">
        <f>IF(E7="","",ROUND(E7*0.033,0))</f>
        <v/>
      </c>
      <c r="G7" s="9">
        <f>IF(E7="","",E7-F7)</f>
        <v/>
      </c>
      <c r="H7" s="2">
        <f>IF(B7="","",'직원 마스터'!D5)</f>
        <v/>
      </c>
      <c r="I7" s="16">
        <f>IF(B7="","",IFERROR(INDEX('지급 이력'!C$2:C$92,MATCH(1,('지급 이력'!A$2:A$92=B7)*('지급 이력'!B$2:B$92=$B$1),0)),"X"))</f>
        <v/>
      </c>
    </row>
    <row r="8">
      <c r="B8" s="2">
        <f>IF(AND('직원 마스터'!F6&lt;&gt;"",'직원 마스터'!F6&lt;=$B$1,OR('직원 마스터'!G6="",'직원 마스터'!G6&gt;=$B$1)),'직원 마스터'!A6,"")</f>
        <v/>
      </c>
      <c r="C8" s="2">
        <f>IF(AND('직원 마스터'!F6&lt;&gt;"",'직원 마스터'!F6&lt;=$B$1,OR('직원 마스터'!G6="",'직원 마스터'!G6&gt;=$B$1)),'직원 마스터'!B6,"")</f>
        <v/>
      </c>
      <c r="D8" s="7">
        <f>IF(AND('직원 마스터'!F6&lt;&gt;"",'직원 마스터'!F6&lt;=$B$1,OR('직원 마스터'!G6="",'직원 마스터'!G6&gt;=$B$1)),SUMPRODUCT(('근무 기록'!B$2:B$500='직원 마스터'!A6)*('근무 기록'!A$2:A$500&gt;=J$1)*('근무 기록'!A$2:A$500&lt;=J$2)*('근무 기록'!E$2:E$500))*24,"")</f>
        <v/>
      </c>
      <c r="E8" s="9">
        <f>IF(B8="","",IFERROR(INDEX('지급 이력'!D$2:D$92,MATCH(1,('지급 이력'!A$2:A$92=B8)*('지급 이력'!B$2:B$92=$B$1),0)),IF(C8="월급",'직원 마스터'!C6,SUMPRODUCT(('근무 기록'!B$2:B$500='직원 마스터'!A6)*('근무 기록'!A$2:A$500&gt;=J$1)*('근무 기록'!A$2:A$500&lt;=J$2)*('근무 기록'!F$2:F$500)))))</f>
        <v/>
      </c>
      <c r="F8" s="9">
        <f>IF(E8="","",ROUND(E8*0.033,0))</f>
        <v/>
      </c>
      <c r="G8" s="9">
        <f>IF(E8="","",E8-F8)</f>
        <v/>
      </c>
      <c r="H8" s="2">
        <f>IF(B8="","",'직원 마스터'!D6)</f>
        <v/>
      </c>
      <c r="I8" s="16">
        <f>IF(B8="","",IFERROR(INDEX('지급 이력'!C$2:C$92,MATCH(1,('지급 이력'!A$2:A$92=B8)*('지급 이력'!B$2:B$92=$B$1),0)),"X"))</f>
        <v/>
      </c>
    </row>
    <row r="9">
      <c r="B9" s="2">
        <f>IF(AND('직원 마스터'!F7&lt;&gt;"",'직원 마스터'!F7&lt;=$B$1,OR('직원 마스터'!G7="",'직원 마스터'!G7&gt;=$B$1)),'직원 마스터'!A7,"")</f>
        <v/>
      </c>
      <c r="C9" s="2">
        <f>IF(AND('직원 마스터'!F7&lt;&gt;"",'직원 마스터'!F7&lt;=$B$1,OR('직원 마스터'!G7="",'직원 마스터'!G7&gt;=$B$1)),'직원 마스터'!B7,"")</f>
        <v/>
      </c>
      <c r="D9" s="7">
        <f>IF(AND('직원 마스터'!F7&lt;&gt;"",'직원 마스터'!F7&lt;=$B$1,OR('직원 마스터'!G7="",'직원 마스터'!G7&gt;=$B$1)),SUMPRODUCT(('근무 기록'!B$2:B$500='직원 마스터'!A7)*('근무 기록'!A$2:A$500&gt;=J$1)*('근무 기록'!A$2:A$500&lt;=J$2)*('근무 기록'!E$2:E$500))*24,"")</f>
        <v/>
      </c>
      <c r="E9" s="9">
        <f>IF(B9="","",IFERROR(INDEX('지급 이력'!D$2:D$92,MATCH(1,('지급 이력'!A$2:A$92=B9)*('지급 이력'!B$2:B$92=$B$1),0)),IF(C9="월급",'직원 마스터'!C7,SUMPRODUCT(('근무 기록'!B$2:B$500='직원 마스터'!A7)*('근무 기록'!A$2:A$500&gt;=J$1)*('근무 기록'!A$2:A$500&lt;=J$2)*('근무 기록'!F$2:F$500)))))</f>
        <v/>
      </c>
      <c r="F9" s="9">
        <f>IF(E9="","",ROUND(E9*0.033,0))</f>
        <v/>
      </c>
      <c r="G9" s="9">
        <f>IF(E9="","",E9-F9)</f>
        <v/>
      </c>
      <c r="H9" s="2">
        <f>IF(B9="","",'직원 마스터'!D7)</f>
        <v/>
      </c>
      <c r="I9" s="16">
        <f>IF(B9="","",IFERROR(INDEX('지급 이력'!C$2:C$92,MATCH(1,('지급 이력'!A$2:A$92=B9)*('지급 이력'!B$2:B$92=$B$1),0)),"X"))</f>
        <v/>
      </c>
    </row>
    <row r="10">
      <c r="B10" s="2">
        <f>IF(AND('직원 마스터'!F8&lt;&gt;"",'직원 마스터'!F8&lt;=$B$1,OR('직원 마스터'!G8="",'직원 마스터'!G8&gt;=$B$1)),'직원 마스터'!A8,"")</f>
        <v/>
      </c>
      <c r="C10" s="2">
        <f>IF(AND('직원 마스터'!F8&lt;&gt;"",'직원 마스터'!F8&lt;=$B$1,OR('직원 마스터'!G8="",'직원 마스터'!G8&gt;=$B$1)),'직원 마스터'!B8,"")</f>
        <v/>
      </c>
      <c r="D10" s="7">
        <f>IF(AND('직원 마스터'!F8&lt;&gt;"",'직원 마스터'!F8&lt;=$B$1,OR('직원 마스터'!G8="",'직원 마스터'!G8&gt;=$B$1)),SUMPRODUCT(('근무 기록'!B$2:B$500='직원 마스터'!A8)*('근무 기록'!A$2:A$500&gt;=J$1)*('근무 기록'!A$2:A$500&lt;=J$2)*('근무 기록'!E$2:E$500))*24,"")</f>
        <v/>
      </c>
      <c r="E10" s="9">
        <f>IF(B10="","",IFERROR(INDEX('지급 이력'!D$2:D$92,MATCH(1,('지급 이력'!A$2:A$92=B10)*('지급 이력'!B$2:B$92=$B$1),0)),IF(C10="월급",'직원 마스터'!C8,SUMPRODUCT(('근무 기록'!B$2:B$500='직원 마스터'!A8)*('근무 기록'!A$2:A$500&gt;=J$1)*('근무 기록'!A$2:A$500&lt;=J$2)*('근무 기록'!F$2:F$500)))))</f>
        <v/>
      </c>
      <c r="F10" s="9">
        <f>IF(E10="","",ROUND(E10*0.033,0))</f>
        <v/>
      </c>
      <c r="G10" s="9">
        <f>IF(E10="","",E10-F10)</f>
        <v/>
      </c>
      <c r="H10" s="2">
        <f>IF(B10="","",'직원 마스터'!D8)</f>
        <v/>
      </c>
      <c r="I10" s="16">
        <f>IF(B10="","",IFERROR(INDEX('지급 이력'!C$2:C$92,MATCH(1,('지급 이력'!A$2:A$92=B10)*('지급 이력'!B$2:B$92=$B$1),0)),"X"))</f>
        <v/>
      </c>
    </row>
    <row r="11">
      <c r="B11" s="2">
        <f>IF(AND('직원 마스터'!F9&lt;&gt;"",'직원 마스터'!F9&lt;=$B$1,OR('직원 마스터'!G9="",'직원 마스터'!G9&gt;=$B$1)),'직원 마스터'!A9,"")</f>
        <v/>
      </c>
      <c r="C11" s="2">
        <f>IF(AND('직원 마스터'!F9&lt;&gt;"",'직원 마스터'!F9&lt;=$B$1,OR('직원 마스터'!G9="",'직원 마스터'!G9&gt;=$B$1)),'직원 마스터'!B9,"")</f>
        <v/>
      </c>
      <c r="D11" s="7">
        <f>IF(AND('직원 마스터'!F9&lt;&gt;"",'직원 마스터'!F9&lt;=$B$1,OR('직원 마스터'!G9="",'직원 마스터'!G9&gt;=$B$1)),SUMPRODUCT(('근무 기록'!B$2:B$500='직원 마스터'!A9)*('근무 기록'!A$2:A$500&gt;=J$1)*('근무 기록'!A$2:A$500&lt;=J$2)*('근무 기록'!E$2:E$500))*24,"")</f>
        <v/>
      </c>
      <c r="E11" s="9">
        <f>IF(B11="","",IFERROR(INDEX('지급 이력'!D$2:D$92,MATCH(1,('지급 이력'!A$2:A$92=B11)*('지급 이력'!B$2:B$92=$B$1),0)),IF(C11="월급",'직원 마스터'!C9,SUMPRODUCT(('근무 기록'!B$2:B$500='직원 마스터'!A9)*('근무 기록'!A$2:A$500&gt;=J$1)*('근무 기록'!A$2:A$500&lt;=J$2)*('근무 기록'!F$2:F$500)))))</f>
        <v/>
      </c>
      <c r="F11" s="9">
        <f>IF(E11="","",ROUND(E11*0.033,0))</f>
        <v/>
      </c>
      <c r="G11" s="9">
        <f>IF(E11="","",E11-F11)</f>
        <v/>
      </c>
      <c r="H11" s="2">
        <f>IF(B11="","",'직원 마스터'!D9)</f>
        <v/>
      </c>
      <c r="I11" s="16">
        <f>IF(B11="","",IFERROR(INDEX('지급 이력'!C$2:C$92,MATCH(1,('지급 이력'!A$2:A$92=B11)*('지급 이력'!B$2:B$92=$B$1),0)),"X"))</f>
        <v/>
      </c>
    </row>
    <row r="12">
      <c r="B12" s="2">
        <f>IF(AND('직원 마스터'!F10&lt;&gt;"",'직원 마스터'!F10&lt;=$B$1,OR('직원 마스터'!G10="",'직원 마스터'!G10&gt;=$B$1)),'직원 마스터'!A10,"")</f>
        <v/>
      </c>
      <c r="C12" s="2">
        <f>IF(AND('직원 마스터'!F10&lt;&gt;"",'직원 마스터'!F10&lt;=$B$1,OR('직원 마스터'!G10="",'직원 마스터'!G10&gt;=$B$1)),'직원 마스터'!B10,"")</f>
        <v/>
      </c>
      <c r="D12" s="7">
        <f>IF(AND('직원 마스터'!F10&lt;&gt;"",'직원 마스터'!F10&lt;=$B$1,OR('직원 마스터'!G10="",'직원 마스터'!G10&gt;=$B$1)),SUMPRODUCT(('근무 기록'!B$2:B$500='직원 마스터'!A10)*('근무 기록'!A$2:A$500&gt;=J$1)*('근무 기록'!A$2:A$500&lt;=J$2)*('근무 기록'!E$2:E$500))*24,"")</f>
        <v/>
      </c>
      <c r="E12" s="9">
        <f>IF(B12="","",IFERROR(INDEX('지급 이력'!D$2:D$92,MATCH(1,('지급 이력'!A$2:A$92=B12)*('지급 이력'!B$2:B$92=$B$1),0)),IF(C12="월급",'직원 마스터'!C10,SUMPRODUCT(('근무 기록'!B$2:B$500='직원 마스터'!A10)*('근무 기록'!A$2:A$500&gt;=J$1)*('근무 기록'!A$2:A$500&lt;=J$2)*('근무 기록'!F$2:F$500)))))</f>
        <v/>
      </c>
      <c r="F12" s="9">
        <f>IF(E12="","",ROUND(E12*0.033,0))</f>
        <v/>
      </c>
      <c r="G12" s="9">
        <f>IF(E12="","",E12-F12)</f>
        <v/>
      </c>
      <c r="H12" s="2">
        <f>IF(B12="","",'직원 마스터'!D10)</f>
        <v/>
      </c>
      <c r="I12" s="16">
        <f>IF(B12="","",IFERROR(INDEX('지급 이력'!C$2:C$92,MATCH(1,('지급 이력'!A$2:A$92=B12)*('지급 이력'!B$2:B$92=$B$1),0)),"X"))</f>
        <v/>
      </c>
    </row>
    <row r="13">
      <c r="B13" s="2">
        <f>IF(AND('직원 마스터'!F11&lt;&gt;"",'직원 마스터'!F11&lt;=$B$1,OR('직원 마스터'!G11="",'직원 마스터'!G11&gt;=$B$1)),'직원 마스터'!A11,"")</f>
        <v/>
      </c>
      <c r="C13" s="2">
        <f>IF(AND('직원 마스터'!F11&lt;&gt;"",'직원 마스터'!F11&lt;=$B$1,OR('직원 마스터'!G11="",'직원 마스터'!G11&gt;=$B$1)),'직원 마스터'!B11,"")</f>
        <v/>
      </c>
      <c r="D13" s="7">
        <f>IF(AND('직원 마스터'!F11&lt;&gt;"",'직원 마스터'!F11&lt;=$B$1,OR('직원 마스터'!G11="",'직원 마스터'!G11&gt;=$B$1)),SUMPRODUCT(('근무 기록'!B$2:B$500='직원 마스터'!A11)*('근무 기록'!A$2:A$500&gt;=J$1)*('근무 기록'!A$2:A$500&lt;=J$2)*('근무 기록'!E$2:E$500))*24,"")</f>
        <v/>
      </c>
      <c r="E13" s="9">
        <f>IF(B13="","",IFERROR(INDEX('지급 이력'!D$2:D$92,MATCH(1,('지급 이력'!A$2:A$92=B13)*('지급 이력'!B$2:B$92=$B$1),0)),IF(C13="월급",'직원 마스터'!C11,SUMPRODUCT(('근무 기록'!B$2:B$500='직원 마스터'!A11)*('근무 기록'!A$2:A$500&gt;=J$1)*('근무 기록'!A$2:A$500&lt;=J$2)*('근무 기록'!F$2:F$500)))))</f>
        <v/>
      </c>
      <c r="F13" s="9">
        <f>IF(E13="","",ROUND(E13*0.033,0))</f>
        <v/>
      </c>
      <c r="G13" s="9">
        <f>IF(E13="","",E13-F13)</f>
        <v/>
      </c>
      <c r="H13" s="2">
        <f>IF(B13="","",'직원 마스터'!D11)</f>
        <v/>
      </c>
      <c r="I13" s="16">
        <f>IF(B13="","",IFERROR(INDEX('지급 이력'!C$2:C$92,MATCH(1,('지급 이력'!A$2:A$92=B13)*('지급 이력'!B$2:B$92=$B$1),0)),"X"))</f>
        <v/>
      </c>
    </row>
    <row r="15">
      <c r="B15" s="17" t="inlineStr">
        <is>
          <t>합계</t>
        </is>
      </c>
      <c r="E15" s="18">
        <f>SUM(E4:E13)</f>
        <v/>
      </c>
      <c r="F15" s="18">
        <f>SUM(F4:F13)</f>
        <v/>
      </c>
      <c r="G15" s="18">
        <f>SUM(G4:G13)</f>
        <v/>
      </c>
    </row>
    <row r="16">
      <c r="B16" s="19" t="inlineStr">
        <is>
          <t>당월 총 인건비</t>
        </is>
      </c>
      <c r="E16" s="20">
        <f>E15</f>
        <v/>
      </c>
    </row>
  </sheetData>
  <mergeCells count="1">
    <mergeCell ref="B16:D16"/>
  </mergeCells>
  <conditionalFormatting sqref="I4:I13">
    <cfRule type="cellIs" priority="1" operator="equal" dxfId="0">
      <formula>"O"</formula>
    </cfRule>
    <cfRule type="cellIs" priority="2" operator="equal" dxfId="1">
      <formula>"X"</formula>
    </cfRule>
  </conditionalFormatting>
  <dataValidations count="2">
    <dataValidation sqref="B1" showDropDown="0" showInputMessage="0" showErrorMessage="0" allowBlank="0" type="list">
      <formula1>"202501,202502,202503,202504,202505,202506,202507,202508,202509,202510,202511,202512"</formula1>
    </dataValidation>
    <dataValidation sqref="I4:I13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2026-04-19T22:25:14Z</dcterms:created>
  <dcterms:modified xmlns:dcterms="http://purl.org/dc/terms/" xmlns:xsi="http://www.w3.org/2001/XMLSchema-instance" xsi:type="dcterms:W3CDTF">2026-04-19T22:25:14Z</dcterms:modified>
</cp:coreProperties>
</file>